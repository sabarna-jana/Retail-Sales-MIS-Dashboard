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Hardcore study for Placement\projects\Retail Sales &amp; MIS Reporting Dashboard\"/>
    </mc:Choice>
  </mc:AlternateContent>
  <xr:revisionPtr revIDLastSave="0" documentId="13_ncr:1_{6ECEAF60-8E1F-4469-91F7-83E81A44F35E}" xr6:coauthVersionLast="47" xr6:coauthVersionMax="47" xr10:uidLastSave="{00000000-0000-0000-0000-000000000000}"/>
  <bookViews>
    <workbookView xWindow="-108" yWindow="-108" windowWidth="23256" windowHeight="13176" firstSheet="1" activeTab="4" xr2:uid="{54F1E536-925C-4D03-A93E-FA08D96E438F}"/>
  </bookViews>
  <sheets>
    <sheet name="raw data" sheetId="4" r:id="rId1"/>
    <sheet name="working data" sheetId="5" r:id="rId2"/>
    <sheet name="working data (power query)" sheetId="6" r:id="rId3"/>
    <sheet name="Calculations" sheetId="8" r:id="rId4"/>
    <sheet name="Dashboard" sheetId="12" r:id="rId5"/>
  </sheets>
  <definedNames>
    <definedName name="ExternalData_1" localSheetId="0" hidden="1">'raw data'!$A$1:$L$527</definedName>
    <definedName name="ExternalData_2" localSheetId="1" hidden="1">'working data'!$A$1:$L$505</definedName>
    <definedName name="ExternalData_3" localSheetId="2" hidden="1">'working data (power query)'!$A$1:$L$433</definedName>
    <definedName name="Slicer_Category">#N/A</definedName>
    <definedName name="Slicer_Sales_Channel">#N/A</definedName>
    <definedName name="Slicer_State">#N/A</definedName>
    <definedName name="working_data">#REF!</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8" l="1"/>
  <c r="G19" i="8"/>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G23" i="8"/>
  <c r="G22" i="8"/>
  <c r="G2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6F3E51-747A-4DB3-8ED1-9197C9DAA40C}" keepAlive="1" name="Query - working data(1)" description="Connection to the 'working data' query in the workbook." type="5" refreshedVersion="8" background="1" saveData="1">
    <dbPr connection="Provider=Microsoft.Mashup.OleDb.1;Data Source=$Workbook$;Location=&quot;working data&quot;;Extended Properties=&quot;&quot;" command="SELECT * FROM [working data]"/>
  </connection>
</connections>
</file>

<file path=xl/sharedStrings.xml><?xml version="1.0" encoding="utf-8"?>
<sst xmlns="http://schemas.openxmlformats.org/spreadsheetml/2006/main" count="10829" uniqueCount="2028">
  <si>
    <t>Date</t>
  </si>
  <si>
    <t>Customer Name</t>
  </si>
  <si>
    <t>City</t>
  </si>
  <si>
    <t>State</t>
  </si>
  <si>
    <t>Product Category</t>
  </si>
  <si>
    <t>Product Name</t>
  </si>
  <si>
    <t>Sales Amount</t>
  </si>
  <si>
    <t>Quantity</t>
  </si>
  <si>
    <t>Discount</t>
  </si>
  <si>
    <t>Profit</t>
  </si>
  <si>
    <t>Sales Channel</t>
  </si>
  <si>
    <t>ORD-001</t>
  </si>
  <si>
    <t>1/15/2023</t>
  </si>
  <si>
    <t xml:space="preserve"> John Doe </t>
  </si>
  <si>
    <t>New York</t>
  </si>
  <si>
    <t>NY</t>
  </si>
  <si>
    <t>Electronics</t>
  </si>
  <si>
    <t>Laptop</t>
  </si>
  <si>
    <t>Online</t>
  </si>
  <si>
    <t>ORD-002</t>
  </si>
  <si>
    <t>2023-01-16</t>
  </si>
  <si>
    <t>jane smith</t>
  </si>
  <si>
    <t>los angeles</t>
  </si>
  <si>
    <t>CA</t>
  </si>
  <si>
    <t xml:space="preserve"> Clothing </t>
  </si>
  <si>
    <t>T-Shirt</t>
  </si>
  <si>
    <t>Offline</t>
  </si>
  <si>
    <t>ORD-003</t>
  </si>
  <si>
    <t>17-Jan-2023</t>
  </si>
  <si>
    <t>Bob Johnson</t>
  </si>
  <si>
    <t/>
  </si>
  <si>
    <t>TX</t>
  </si>
  <si>
    <t>Furniture</t>
  </si>
  <si>
    <t>Desk</t>
  </si>
  <si>
    <t>ORD-004</t>
  </si>
  <si>
    <t>1/18/2023</t>
  </si>
  <si>
    <t>alice Brown</t>
  </si>
  <si>
    <t>Chicago</t>
  </si>
  <si>
    <t>IL</t>
  </si>
  <si>
    <t>Smartphone</t>
  </si>
  <si>
    <t xml:space="preserve"> online </t>
  </si>
  <si>
    <t>ORD-005</t>
  </si>
  <si>
    <t>1/19/2023</t>
  </si>
  <si>
    <t>Charlie Davis</t>
  </si>
  <si>
    <t>Houston</t>
  </si>
  <si>
    <t>Clothing</t>
  </si>
  <si>
    <t>Jeans</t>
  </si>
  <si>
    <t>ORD-006</t>
  </si>
  <si>
    <t>20-01-2023</t>
  </si>
  <si>
    <t>Eve White</t>
  </si>
  <si>
    <t>Phoenix</t>
  </si>
  <si>
    <t>AZ</t>
  </si>
  <si>
    <t xml:space="preserve"> Furniture </t>
  </si>
  <si>
    <t>Chair</t>
  </si>
  <si>
    <t>ORD-007</t>
  </si>
  <si>
    <t>1/21/2023</t>
  </si>
  <si>
    <t>Frank Green</t>
  </si>
  <si>
    <t>Philadelphia</t>
  </si>
  <si>
    <t>PA</t>
  </si>
  <si>
    <t>Tablet</t>
  </si>
  <si>
    <t>ORD-008</t>
  </si>
  <si>
    <t>1/22/2023</t>
  </si>
  <si>
    <t>Grace Lee</t>
  </si>
  <si>
    <t>Dress</t>
  </si>
  <si>
    <t>ORD-009</t>
  </si>
  <si>
    <t>23-Jan-2023</t>
  </si>
  <si>
    <t>Henry Ford</t>
  </si>
  <si>
    <t>San Antonio</t>
  </si>
  <si>
    <t>Sofa</t>
  </si>
  <si>
    <t>ORD-010</t>
  </si>
  <si>
    <t>1/24/2023</t>
  </si>
  <si>
    <t>Ivy Clark</t>
  </si>
  <si>
    <t>San Diego</t>
  </si>
  <si>
    <t>Headphones</t>
  </si>
  <si>
    <t xml:space="preserve"> offline</t>
  </si>
  <si>
    <t>ORD-011</t>
  </si>
  <si>
    <t>1/25/2023</t>
  </si>
  <si>
    <t>Jack Black</t>
  </si>
  <si>
    <t>Dallas</t>
  </si>
  <si>
    <t>Shoes</t>
  </si>
  <si>
    <t>ORD-012</t>
  </si>
  <si>
    <t>2023-01-26</t>
  </si>
  <si>
    <t>Karen Hall</t>
  </si>
  <si>
    <t>San Jose</t>
  </si>
  <si>
    <t>Table</t>
  </si>
  <si>
    <t>ORD-013</t>
  </si>
  <si>
    <t>27-01-2023</t>
  </si>
  <si>
    <t>Liam Young</t>
  </si>
  <si>
    <t>Austin</t>
  </si>
  <si>
    <t>Monitor</t>
  </si>
  <si>
    <t>ORD-014</t>
  </si>
  <si>
    <t>1/28/2023</t>
  </si>
  <si>
    <t>Mia Wright</t>
  </si>
  <si>
    <t>Jacksonville</t>
  </si>
  <si>
    <t>FL</t>
  </si>
  <si>
    <t>Jacket</t>
  </si>
  <si>
    <t>ORD-015</t>
  </si>
  <si>
    <t>1/29/2023</t>
  </si>
  <si>
    <t>Noah Scott</t>
  </si>
  <si>
    <t>Fort Worth</t>
  </si>
  <si>
    <t>Bookshelf</t>
  </si>
  <si>
    <t>ORD-016</t>
  </si>
  <si>
    <t>30-Jan-2023</t>
  </si>
  <si>
    <t>Olivia King</t>
  </si>
  <si>
    <t>Columbus</t>
  </si>
  <si>
    <t>OH</t>
  </si>
  <si>
    <t>Smartwatch</t>
  </si>
  <si>
    <t>ORD-017</t>
  </si>
  <si>
    <t>1/31/2023</t>
  </si>
  <si>
    <t>Paul Baker</t>
  </si>
  <si>
    <t>Charlotte</t>
  </si>
  <si>
    <t>NC</t>
  </si>
  <si>
    <t>Sweater</t>
  </si>
  <si>
    <t>ORD-018</t>
  </si>
  <si>
    <t>2/1/2023</t>
  </si>
  <si>
    <t>Quinn Nelson</t>
  </si>
  <si>
    <t>IN</t>
  </si>
  <si>
    <t>Bed</t>
  </si>
  <si>
    <t>ORD-019</t>
  </si>
  <si>
    <t>2023-02-02</t>
  </si>
  <si>
    <t>Rachel Carter</t>
  </si>
  <si>
    <t>Seattle</t>
  </si>
  <si>
    <t>WA</t>
  </si>
  <si>
    <t>Camera</t>
  </si>
  <si>
    <t>ORD-020</t>
  </si>
  <si>
    <t>03-02-2023</t>
  </si>
  <si>
    <t>Sam Perez</t>
  </si>
  <si>
    <t>Denver</t>
  </si>
  <si>
    <t>CO</t>
  </si>
  <si>
    <t>Shorts</t>
  </si>
  <si>
    <t>ORD-021</t>
  </si>
  <si>
    <t>2/4/2023</t>
  </si>
  <si>
    <t>Tina Turner</t>
  </si>
  <si>
    <t>Washington</t>
  </si>
  <si>
    <t>DC</t>
  </si>
  <si>
    <t>Cabinet</t>
  </si>
  <si>
    <t>ORD-022</t>
  </si>
  <si>
    <t>5-Feb-2023</t>
  </si>
  <si>
    <t>Uma Thurman</t>
  </si>
  <si>
    <t>Boston</t>
  </si>
  <si>
    <t>MA</t>
  </si>
  <si>
    <t>Router</t>
  </si>
  <si>
    <t>ORD-023</t>
  </si>
  <si>
    <t>2/6/2023</t>
  </si>
  <si>
    <t>Victor Hugo</t>
  </si>
  <si>
    <t>El Paso</t>
  </si>
  <si>
    <t>Socks</t>
  </si>
  <si>
    <t>ORD-024</t>
  </si>
  <si>
    <t>2023-02-07</t>
  </si>
  <si>
    <t>Wendy Darling</t>
  </si>
  <si>
    <t>Nashville</t>
  </si>
  <si>
    <t>TN</t>
  </si>
  <si>
    <t>Stool</t>
  </si>
  <si>
    <t>ORD-025</t>
  </si>
  <si>
    <t>08-02-2023</t>
  </si>
  <si>
    <t>Xavier Woods</t>
  </si>
  <si>
    <t>Detroit</t>
  </si>
  <si>
    <t>MI</t>
  </si>
  <si>
    <t>Keyboard</t>
  </si>
  <si>
    <t>ORD-026</t>
  </si>
  <si>
    <t>2/9/2023</t>
  </si>
  <si>
    <t>Yara Shahidi</t>
  </si>
  <si>
    <t>OR</t>
  </si>
  <si>
    <t>Hat</t>
  </si>
  <si>
    <t>ORD-027</t>
  </si>
  <si>
    <t>10-Feb-2023</t>
  </si>
  <si>
    <t>Zack Morris</t>
  </si>
  <si>
    <t>Memphis</t>
  </si>
  <si>
    <t>Lamp</t>
  </si>
  <si>
    <t>ORD-028</t>
  </si>
  <si>
    <t>2/11/2023</t>
  </si>
  <si>
    <t>Amy Adams</t>
  </si>
  <si>
    <t>Louisville</t>
  </si>
  <si>
    <t>KY</t>
  </si>
  <si>
    <t>Mouse</t>
  </si>
  <si>
    <t>ORD-029</t>
  </si>
  <si>
    <t>12-02-2023</t>
  </si>
  <si>
    <t xml:space="preserve"> Brian Cox </t>
  </si>
  <si>
    <t>Portland</t>
  </si>
  <si>
    <t>ORD-030</t>
  </si>
  <si>
    <t>2/13/2023</t>
  </si>
  <si>
    <t>cathy dennis</t>
  </si>
  <si>
    <t>atlanta</t>
  </si>
  <si>
    <t>GA</t>
  </si>
  <si>
    <t>ORD-031</t>
  </si>
  <si>
    <t>14-Feb-2023</t>
  </si>
  <si>
    <t>David Evans</t>
  </si>
  <si>
    <t>ORD-032</t>
  </si>
  <si>
    <t>2/15/2023</t>
  </si>
  <si>
    <t>emily farr</t>
  </si>
  <si>
    <t>Miami</t>
  </si>
  <si>
    <t>ORD-033</t>
  </si>
  <si>
    <t>2/16/2023</t>
  </si>
  <si>
    <t>George Harris</t>
  </si>
  <si>
    <t>Tampa</t>
  </si>
  <si>
    <t>ORD-034</t>
  </si>
  <si>
    <t>2/17/2023</t>
  </si>
  <si>
    <t>Hannah Irwin</t>
  </si>
  <si>
    <t>Orlando</t>
  </si>
  <si>
    <t>ORD-035</t>
  </si>
  <si>
    <t>18-02-2023</t>
  </si>
  <si>
    <t>Ian Jones</t>
  </si>
  <si>
    <t>St. Petersburg</t>
  </si>
  <si>
    <t>ORD-036</t>
  </si>
  <si>
    <t>2/19/2023</t>
  </si>
  <si>
    <t>Julia Kent</t>
  </si>
  <si>
    <t>ORD-037</t>
  </si>
  <si>
    <t>20-Feb-2023</t>
  </si>
  <si>
    <t>Kevin Lewis</t>
  </si>
  <si>
    <t>Plano</t>
  </si>
  <si>
    <t>ORD-038</t>
  </si>
  <si>
    <t>2/21/2023</t>
  </si>
  <si>
    <t>Laura Martin</t>
  </si>
  <si>
    <t>Irving</t>
  </si>
  <si>
    <t>ORD-039</t>
  </si>
  <si>
    <t>2/22/2023</t>
  </si>
  <si>
    <t>Mike Norton</t>
  </si>
  <si>
    <t>Garland</t>
  </si>
  <si>
    <t>ORD-040</t>
  </si>
  <si>
    <t>2023-02-23</t>
  </si>
  <si>
    <t>Nina Owens</t>
  </si>
  <si>
    <t>Frisco</t>
  </si>
  <si>
    <t>ORD-041</t>
  </si>
  <si>
    <t>24-02-2023</t>
  </si>
  <si>
    <t>Oscar Perez</t>
  </si>
  <si>
    <t>McKinney</t>
  </si>
  <si>
    <t>ORD-042</t>
  </si>
  <si>
    <t>2/25/2023</t>
  </si>
  <si>
    <t>Paula Quinn</t>
  </si>
  <si>
    <t>Grand Prairie</t>
  </si>
  <si>
    <t>ORD-043</t>
  </si>
  <si>
    <t>2/26/2023</t>
  </si>
  <si>
    <t>Ray Romano</t>
  </si>
  <si>
    <t>Brownsville</t>
  </si>
  <si>
    <t>ORD-044</t>
  </si>
  <si>
    <t>27-Feb-2023</t>
  </si>
  <si>
    <t>Sarah Smith</t>
  </si>
  <si>
    <t>Pasadena</t>
  </si>
  <si>
    <t>ORD-045</t>
  </si>
  <si>
    <t>2/28/2023</t>
  </si>
  <si>
    <t>Tom Taylor</t>
  </si>
  <si>
    <t>Mesquite</t>
  </si>
  <si>
    <t>ORD-046</t>
  </si>
  <si>
    <t>3/1/2023</t>
  </si>
  <si>
    <t>Ursula Upton</t>
  </si>
  <si>
    <t>ORD-047</t>
  </si>
  <si>
    <t>2023-03-02</t>
  </si>
  <si>
    <t>Victor Vance</t>
  </si>
  <si>
    <t>Buffalo</t>
  </si>
  <si>
    <t>ORD-048</t>
  </si>
  <si>
    <t>03-03-2023</t>
  </si>
  <si>
    <t>Wendy White</t>
  </si>
  <si>
    <t>Rochester</t>
  </si>
  <si>
    <t>ORD-049</t>
  </si>
  <si>
    <t>3/4/2023</t>
  </si>
  <si>
    <t>Xander Xavier</t>
  </si>
  <si>
    <t>Yonkers</t>
  </si>
  <si>
    <t>ORD-050</t>
  </si>
  <si>
    <t>5-Mar-2023</t>
  </si>
  <si>
    <t>Yolanda Young</t>
  </si>
  <si>
    <t>Syracuse</t>
  </si>
  <si>
    <t>ORD-051</t>
  </si>
  <si>
    <t>3/6/2023</t>
  </si>
  <si>
    <t>Zachary Zane</t>
  </si>
  <si>
    <t>Albany</t>
  </si>
  <si>
    <t>ORD-052</t>
  </si>
  <si>
    <t>2023-03-07</t>
  </si>
  <si>
    <t>Alice Anderson</t>
  </si>
  <si>
    <t>New Rochelle</t>
  </si>
  <si>
    <t>ORD-053</t>
  </si>
  <si>
    <t>08-03-2023</t>
  </si>
  <si>
    <t>Bob Barker</t>
  </si>
  <si>
    <t>Mount Vernon</t>
  </si>
  <si>
    <t>ORD-054</t>
  </si>
  <si>
    <t>3/9/2023</t>
  </si>
  <si>
    <t>Charlie Chaplin</t>
  </si>
  <si>
    <t>ORD-055</t>
  </si>
  <si>
    <t>10-Mar-2023</t>
  </si>
  <si>
    <t>David Duchovny</t>
  </si>
  <si>
    <t>Schenectady</t>
  </si>
  <si>
    <t>ORD-056</t>
  </si>
  <si>
    <t>3/11/2023</t>
  </si>
  <si>
    <t>Eve Ensler</t>
  </si>
  <si>
    <t>Utica</t>
  </si>
  <si>
    <t>ORD-057</t>
  </si>
  <si>
    <t>3/12/2023</t>
  </si>
  <si>
    <t xml:space="preserve"> Frank Sinatra </t>
  </si>
  <si>
    <t>Los Angeles</t>
  </si>
  <si>
    <t>ORD-058</t>
  </si>
  <si>
    <t>2023-03-13</t>
  </si>
  <si>
    <t>grace kelly</t>
  </si>
  <si>
    <t>san diego</t>
  </si>
  <si>
    <t>ORD-059</t>
  </si>
  <si>
    <t>14-Mar-2023</t>
  </si>
  <si>
    <t>Humphrey Bogart</t>
  </si>
  <si>
    <t>ORD-060</t>
  </si>
  <si>
    <t>3/15/2023</t>
  </si>
  <si>
    <t>ingrid bergman</t>
  </si>
  <si>
    <t>ORD-061</t>
  </si>
  <si>
    <t>3/16/2023</t>
  </si>
  <si>
    <t>James Dean</t>
  </si>
  <si>
    <t>San Francisco</t>
  </si>
  <si>
    <t>ORD-062</t>
  </si>
  <si>
    <t>17-03-2023</t>
  </si>
  <si>
    <t>Katharine Hepburn</t>
  </si>
  <si>
    <t>Fresno</t>
  </si>
  <si>
    <t>ORD-063</t>
  </si>
  <si>
    <t>3/18/2023</t>
  </si>
  <si>
    <t>Marlon Brando</t>
  </si>
  <si>
    <t>Sacramento</t>
  </si>
  <si>
    <t>ORD-064</t>
  </si>
  <si>
    <t>3/19/2023</t>
  </si>
  <si>
    <t>Norma Jean</t>
  </si>
  <si>
    <t>ORD-065</t>
  </si>
  <si>
    <t>20-Mar-2023</t>
  </si>
  <si>
    <t>Orson Welles</t>
  </si>
  <si>
    <t>Long Beach</t>
  </si>
  <si>
    <t>ORD-066</t>
  </si>
  <si>
    <t>3/21/2023</t>
  </si>
  <si>
    <t>Paul Newman</t>
  </si>
  <si>
    <t>Oakland</t>
  </si>
  <si>
    <t>ORD-067</t>
  </si>
  <si>
    <t>3/22/2023</t>
  </si>
  <si>
    <t>Quincy Jones</t>
  </si>
  <si>
    <t>Bakersfield</t>
  </si>
  <si>
    <t>ORD-068</t>
  </si>
  <si>
    <t>2023-03-23</t>
  </si>
  <si>
    <t>Rita Hayworth</t>
  </si>
  <si>
    <t>Anaheim</t>
  </si>
  <si>
    <t>ORD-069</t>
  </si>
  <si>
    <t>24-03-2023</t>
  </si>
  <si>
    <t>Steve McQueen</t>
  </si>
  <si>
    <t>Santa Ana</t>
  </si>
  <si>
    <t>ORD-070</t>
  </si>
  <si>
    <t>3/25/2023</t>
  </si>
  <si>
    <t>Tony Curtis</t>
  </si>
  <si>
    <t>Riverside</t>
  </si>
  <si>
    <t>ORD-071</t>
  </si>
  <si>
    <t>3/26/2023</t>
  </si>
  <si>
    <t>Stockton</t>
  </si>
  <si>
    <t>ORD-072</t>
  </si>
  <si>
    <t>27-Mar-2023</t>
  </si>
  <si>
    <t>Vivien Leigh</t>
  </si>
  <si>
    <t>Chula Vista</t>
  </si>
  <si>
    <t>ORD-073</t>
  </si>
  <si>
    <t>3/28/2023</t>
  </si>
  <si>
    <t>William Holden</t>
  </si>
  <si>
    <t>Irvine</t>
  </si>
  <si>
    <t>ORD-074</t>
  </si>
  <si>
    <t>3/29/2023</t>
  </si>
  <si>
    <t>Xena Warrior</t>
  </si>
  <si>
    <t>ORD-075</t>
  </si>
  <si>
    <t>2023-03-30</t>
  </si>
  <si>
    <t>Yul Brynner</t>
  </si>
  <si>
    <t>Fremont</t>
  </si>
  <si>
    <t>ORD-076</t>
  </si>
  <si>
    <t>31-03-2023</t>
  </si>
  <si>
    <t>Zsa Zsa Gabor</t>
  </si>
  <si>
    <t>San Bernardino</t>
  </si>
  <si>
    <t>ORD-077</t>
  </si>
  <si>
    <t>4/1/2023</t>
  </si>
  <si>
    <t>Adam West</t>
  </si>
  <si>
    <t>Modesto</t>
  </si>
  <si>
    <t>ORD-078</t>
  </si>
  <si>
    <t>2-Apr-2023</t>
  </si>
  <si>
    <t>Burt Ward</t>
  </si>
  <si>
    <t>Fontana</t>
  </si>
  <si>
    <t>ORD-079</t>
  </si>
  <si>
    <t>4/3/2023</t>
  </si>
  <si>
    <t>Cesar Romero</t>
  </si>
  <si>
    <t>Oxnard</t>
  </si>
  <si>
    <t>ORD-080</t>
  </si>
  <si>
    <t>2023-04-04</t>
  </si>
  <si>
    <t>Eartha Kitt</t>
  </si>
  <si>
    <t>Moreno Valley</t>
  </si>
  <si>
    <t>ORD-081</t>
  </si>
  <si>
    <t>05-04-2023</t>
  </si>
  <si>
    <t>Frank Gorshin</t>
  </si>
  <si>
    <t>Huntington Beach</t>
  </si>
  <si>
    <t>ORD-082</t>
  </si>
  <si>
    <t>4/6/2023</t>
  </si>
  <si>
    <t>Julie Newmar</t>
  </si>
  <si>
    <t>ORD-083</t>
  </si>
  <si>
    <t>7-Apr-2023</t>
  </si>
  <si>
    <t>Lee Meriwether</t>
  </si>
  <si>
    <t>Glendale</t>
  </si>
  <si>
    <t>ORD-084</t>
  </si>
  <si>
    <t>4/8/2023</t>
  </si>
  <si>
    <t>Burgess Meredith</t>
  </si>
  <si>
    <t>Santa Clarita</t>
  </si>
  <si>
    <t>ORD-085</t>
  </si>
  <si>
    <t>4/9/2023</t>
  </si>
  <si>
    <t xml:space="preserve"> Alan Rickman </t>
  </si>
  <si>
    <t>ORD-086</t>
  </si>
  <si>
    <t>2023-04-10</t>
  </si>
  <si>
    <t>maggie smith</t>
  </si>
  <si>
    <t>aurora</t>
  </si>
  <si>
    <t>ORD-087</t>
  </si>
  <si>
    <t>11-Apr-2023</t>
  </si>
  <si>
    <t>Richard Harris</t>
  </si>
  <si>
    <t>ORD-088</t>
  </si>
  <si>
    <t>4/12/2023</t>
  </si>
  <si>
    <t>michael gambon</t>
  </si>
  <si>
    <t>Naperville</t>
  </si>
  <si>
    <t>ORD-089</t>
  </si>
  <si>
    <t>4/13/2023</t>
  </si>
  <si>
    <t>Robbie Coltrane</t>
  </si>
  <si>
    <t>Joliet</t>
  </si>
  <si>
    <t>ORD-090</t>
  </si>
  <si>
    <t>14-04-2023</t>
  </si>
  <si>
    <t>Fiona Shaw</t>
  </si>
  <si>
    <t>Rockford</t>
  </si>
  <si>
    <t>ORD-091</t>
  </si>
  <si>
    <t>4/15/2023</t>
  </si>
  <si>
    <t>Emma Watson</t>
  </si>
  <si>
    <t>Springfield</t>
  </si>
  <si>
    <t>ORD-092</t>
  </si>
  <si>
    <t>4/16/2023</t>
  </si>
  <si>
    <t>Rupert Grint</t>
  </si>
  <si>
    <t>ORD-093</t>
  </si>
  <si>
    <t>17-Apr-2023</t>
  </si>
  <si>
    <t>Daniel Radcliffe</t>
  </si>
  <si>
    <t>Peoria</t>
  </si>
  <si>
    <t>ORD-094</t>
  </si>
  <si>
    <t>4/18/2023</t>
  </si>
  <si>
    <t>Tom Felton</t>
  </si>
  <si>
    <t>Elgin</t>
  </si>
  <si>
    <t>ORD-095</t>
  </si>
  <si>
    <t>4/19/2023</t>
  </si>
  <si>
    <t>Matthew Lewis</t>
  </si>
  <si>
    <t>Waukegan</t>
  </si>
  <si>
    <t>ORD-096</t>
  </si>
  <si>
    <t>2023-04-20</t>
  </si>
  <si>
    <t>Evanna Lynch</t>
  </si>
  <si>
    <t>Cicero</t>
  </si>
  <si>
    <t>ORD-097</t>
  </si>
  <si>
    <t>21-04-2023</t>
  </si>
  <si>
    <t>Bonnie Wright</t>
  </si>
  <si>
    <t>Champaign</t>
  </si>
  <si>
    <t>ORD-098</t>
  </si>
  <si>
    <t>4/22/2023</t>
  </si>
  <si>
    <t>James Phelps</t>
  </si>
  <si>
    <t>Bloomington</t>
  </si>
  <si>
    <t>ORD-099</t>
  </si>
  <si>
    <t>4/23/2023</t>
  </si>
  <si>
    <t>Oliver Phelps</t>
  </si>
  <si>
    <t>Arlington Heights</t>
  </si>
  <si>
    <t>ORD-100</t>
  </si>
  <si>
    <t>24-Apr-2023</t>
  </si>
  <si>
    <t>Mark Williams</t>
  </si>
  <si>
    <t>Evanston</t>
  </si>
  <si>
    <t>ORD-101</t>
  </si>
  <si>
    <t>4/25/2023</t>
  </si>
  <si>
    <t>Julie Walters</t>
  </si>
  <si>
    <t>Decatur</t>
  </si>
  <si>
    <t>ORD-102</t>
  </si>
  <si>
    <t>4/26/2023</t>
  </si>
  <si>
    <t>Jason Isaacs</t>
  </si>
  <si>
    <t>ORD-103</t>
  </si>
  <si>
    <t>2023-04-27</t>
  </si>
  <si>
    <t>Helen McCrory</t>
  </si>
  <si>
    <t>Oak Lawn</t>
  </si>
  <si>
    <t>ORD-104</t>
  </si>
  <si>
    <t>28-04-2023</t>
  </si>
  <si>
    <t>Gary Oldman</t>
  </si>
  <si>
    <t>Berwyn</t>
  </si>
  <si>
    <t>ORD-105</t>
  </si>
  <si>
    <t>4/29/2023</t>
  </si>
  <si>
    <t>David Thewlis</t>
  </si>
  <si>
    <t>Mount Prospect</t>
  </si>
  <si>
    <t>ORD-106</t>
  </si>
  <si>
    <t>30-Apr-2023</t>
  </si>
  <si>
    <t>Timothy Spall</t>
  </si>
  <si>
    <t>Wheaton</t>
  </si>
  <si>
    <t>ORD-107</t>
  </si>
  <si>
    <t>5/1/2023</t>
  </si>
  <si>
    <t>Natalia Tena</t>
  </si>
  <si>
    <t>Normal</t>
  </si>
  <si>
    <t>ORD-108</t>
  </si>
  <si>
    <t>2023-05-02</t>
  </si>
  <si>
    <t>David Bradley</t>
  </si>
  <si>
    <t>Hoffman Estates</t>
  </si>
  <si>
    <t>ORD-109</t>
  </si>
  <si>
    <t>03-05-2023</t>
  </si>
  <si>
    <t>Warwick Davis</t>
  </si>
  <si>
    <t>Oak Park</t>
  </si>
  <si>
    <t>ORD-110</t>
  </si>
  <si>
    <t>5/4/2023</t>
  </si>
  <si>
    <t>John Hurt</t>
  </si>
  <si>
    <t>ORD-111</t>
  </si>
  <si>
    <t>5-May-2023</t>
  </si>
  <si>
    <t>Richard Griffiths</t>
  </si>
  <si>
    <t>Downers Grove</t>
  </si>
  <si>
    <t>ORD-112</t>
  </si>
  <si>
    <t>5/6/2023</t>
  </si>
  <si>
    <t>Ian Hart</t>
  </si>
  <si>
    <t>Glenview</t>
  </si>
  <si>
    <t>ORD-113</t>
  </si>
  <si>
    <t>5/7/2023</t>
  </si>
  <si>
    <t xml:space="preserve"> Meryl Streep </t>
  </si>
  <si>
    <t>ORD-114</t>
  </si>
  <si>
    <t>2023-05-08</t>
  </si>
  <si>
    <t>tom hanks</t>
  </si>
  <si>
    <t>san antonio</t>
  </si>
  <si>
    <t>ORD-115</t>
  </si>
  <si>
    <t>09-May-2023</t>
  </si>
  <si>
    <t>Denzel Washington</t>
  </si>
  <si>
    <t>ORD-116</t>
  </si>
  <si>
    <t>5/10/2023</t>
  </si>
  <si>
    <t>leonardo dicaprio</t>
  </si>
  <si>
    <t>ORD-117</t>
  </si>
  <si>
    <t>5/11/2023</t>
  </si>
  <si>
    <t>Brad Pitt</t>
  </si>
  <si>
    <t>ORD-118</t>
  </si>
  <si>
    <t>12-05-2023</t>
  </si>
  <si>
    <t>Johnny Depp</t>
  </si>
  <si>
    <t>ORD-119</t>
  </si>
  <si>
    <t>5/13/2023</t>
  </si>
  <si>
    <t>Robert De Niro</t>
  </si>
  <si>
    <t>ORD-120</t>
  </si>
  <si>
    <t>5/14/2023</t>
  </si>
  <si>
    <t>Al Pacino</t>
  </si>
  <si>
    <t>ORD-121</t>
  </si>
  <si>
    <t>15-May-2023</t>
  </si>
  <si>
    <t>Jack Nicholson</t>
  </si>
  <si>
    <t>Arlington</t>
  </si>
  <si>
    <t>ORD-122</t>
  </si>
  <si>
    <t>5/16/2023</t>
  </si>
  <si>
    <t>Morgan Freeman</t>
  </si>
  <si>
    <t>Corpus Christi</t>
  </si>
  <si>
    <t>ORD-123</t>
  </si>
  <si>
    <t>5/17/2023</t>
  </si>
  <si>
    <t>Anthony Hopkins</t>
  </si>
  <si>
    <t>ORD-124</t>
  </si>
  <si>
    <t>2023-05-18</t>
  </si>
  <si>
    <t>Dustin Hoffman</t>
  </si>
  <si>
    <t>Laredo</t>
  </si>
  <si>
    <t>ORD-125</t>
  </si>
  <si>
    <t>19-05-2023</t>
  </si>
  <si>
    <t>Tom Cruise</t>
  </si>
  <si>
    <t>Lubbock</t>
  </si>
  <si>
    <t>ORD-126</t>
  </si>
  <si>
    <t>5/20/2023</t>
  </si>
  <si>
    <t>Harrison Ford</t>
  </si>
  <si>
    <t>ORD-127</t>
  </si>
  <si>
    <t>5/21/2023</t>
  </si>
  <si>
    <t>Samuel L. Jackson</t>
  </si>
  <si>
    <t>ORD-128</t>
  </si>
  <si>
    <t>22-May-2023</t>
  </si>
  <si>
    <t>Will Smith</t>
  </si>
  <si>
    <t>Amarillo</t>
  </si>
  <si>
    <t>ORD-129</t>
  </si>
  <si>
    <t>5/23/2023</t>
  </si>
  <si>
    <t>Clint Eastwood</t>
  </si>
  <si>
    <t>ORD-130</t>
  </si>
  <si>
    <t>5/24/2023</t>
  </si>
  <si>
    <t>Christian Bale</t>
  </si>
  <si>
    <t>ORD-131</t>
  </si>
  <si>
    <t>2023-05-25</t>
  </si>
  <si>
    <t>Matt Damon</t>
  </si>
  <si>
    <t>ORD-132</t>
  </si>
  <si>
    <t>26-05-2023</t>
  </si>
  <si>
    <t>George Clooney</t>
  </si>
  <si>
    <t>ORD-133</t>
  </si>
  <si>
    <t>5/27/2023</t>
  </si>
  <si>
    <t>Joaquin Phoenix</t>
  </si>
  <si>
    <t>ORD-134</t>
  </si>
  <si>
    <t>28-May-2023</t>
  </si>
  <si>
    <t>Matthew McConaughey</t>
  </si>
  <si>
    <t>ORD-135</t>
  </si>
  <si>
    <t>5/29/2023</t>
  </si>
  <si>
    <t>Chris Evans</t>
  </si>
  <si>
    <t>Killeen</t>
  </si>
  <si>
    <t>ORD-136</t>
  </si>
  <si>
    <t>2023-05-30</t>
  </si>
  <si>
    <t>Chris Hemsworth</t>
  </si>
  <si>
    <t>ORD-137</t>
  </si>
  <si>
    <t>31-05-2023</t>
  </si>
  <si>
    <t>Robert Downey Jr.</t>
  </si>
  <si>
    <t>McAllen</t>
  </si>
  <si>
    <t>ORD-138</t>
  </si>
  <si>
    <t>6/1/2023</t>
  </si>
  <si>
    <t>Mark Ruffalo</t>
  </si>
  <si>
    <t>ORD-139</t>
  </si>
  <si>
    <t>2-Jun-2023</t>
  </si>
  <si>
    <t>Scarlett Johansson</t>
  </si>
  <si>
    <t>Waco</t>
  </si>
  <si>
    <t>ORD-140</t>
  </si>
  <si>
    <t>6/3/2023</t>
  </si>
  <si>
    <t>Jeremy Renner</t>
  </si>
  <si>
    <t>Carrollton</t>
  </si>
  <si>
    <t>ORD-141</t>
  </si>
  <si>
    <t>6/4/2023</t>
  </si>
  <si>
    <t xml:space="preserve"> Anne Hathaway </t>
  </si>
  <si>
    <t>ORD-142</t>
  </si>
  <si>
    <t>2023-06-05</t>
  </si>
  <si>
    <t>natalie portman</t>
  </si>
  <si>
    <t>pittsburgh</t>
  </si>
  <si>
    <t>ORD-143</t>
  </si>
  <si>
    <t>06-Jun-2023</t>
  </si>
  <si>
    <t>Emma Stone</t>
  </si>
  <si>
    <t>ORD-144</t>
  </si>
  <si>
    <t>6/7/2023</t>
  </si>
  <si>
    <t>jennifer lawrence</t>
  </si>
  <si>
    <t>Allentown</t>
  </si>
  <si>
    <t>ORD-145</t>
  </si>
  <si>
    <t>6/8/2023</t>
  </si>
  <si>
    <t>Angelina Jolie</t>
  </si>
  <si>
    <t>Erie</t>
  </si>
  <si>
    <t>ORD-146</t>
  </si>
  <si>
    <t>09-06-2023</t>
  </si>
  <si>
    <t>Charlize Theron</t>
  </si>
  <si>
    <t>Reading</t>
  </si>
  <si>
    <t>ORD-147</t>
  </si>
  <si>
    <t>6/10/2023</t>
  </si>
  <si>
    <t>Julia Roberts</t>
  </si>
  <si>
    <t>Scranton</t>
  </si>
  <si>
    <t>ORD-148</t>
  </si>
  <si>
    <t>6/11/2023</t>
  </si>
  <si>
    <t>Nicole Kidman</t>
  </si>
  <si>
    <t>ORD-149</t>
  </si>
  <si>
    <t>12-Jun-2023</t>
  </si>
  <si>
    <t>Cate Blanchett</t>
  </si>
  <si>
    <t>Bethlehem</t>
  </si>
  <si>
    <t>ORD-150</t>
  </si>
  <si>
    <t>6/13/2023</t>
  </si>
  <si>
    <t>Sandra Bullock</t>
  </si>
  <si>
    <t>Lancaster</t>
  </si>
  <si>
    <t>ORD-151</t>
  </si>
  <si>
    <t>6/14/2023</t>
  </si>
  <si>
    <t>Harrisburg</t>
  </si>
  <si>
    <t>ORD-152</t>
  </si>
  <si>
    <t>2023-06-15</t>
  </si>
  <si>
    <t>Reese Witherspoon</t>
  </si>
  <si>
    <t>Altoona</t>
  </si>
  <si>
    <t>ORD-153</t>
  </si>
  <si>
    <t>16-06-2023</t>
  </si>
  <si>
    <t>Kate Winslet</t>
  </si>
  <si>
    <t>York</t>
  </si>
  <si>
    <t>ORD-154</t>
  </si>
  <si>
    <t>6/17/2023</t>
  </si>
  <si>
    <t>Halle Berry</t>
  </si>
  <si>
    <t>State College</t>
  </si>
  <si>
    <t>ORD-155</t>
  </si>
  <si>
    <t>6/18/2023</t>
  </si>
  <si>
    <t>Cameron Diaz</t>
  </si>
  <si>
    <t>Wilkes-Barre</t>
  </si>
  <si>
    <t>ORD-156</t>
  </si>
  <si>
    <t>19-Jun-2023</t>
  </si>
  <si>
    <t>Drew Barrymore</t>
  </si>
  <si>
    <t>Norristown</t>
  </si>
  <si>
    <t>ORD-157</t>
  </si>
  <si>
    <t>6/20/2023</t>
  </si>
  <si>
    <t>Penelope Cruz</t>
  </si>
  <si>
    <t>Chester</t>
  </si>
  <si>
    <t>ORD-158</t>
  </si>
  <si>
    <t>6/21/2023</t>
  </si>
  <si>
    <t>Salma Hayek</t>
  </si>
  <si>
    <t>ORD-159</t>
  </si>
  <si>
    <t>2023-06-22</t>
  </si>
  <si>
    <t>Jennifer Aniston</t>
  </si>
  <si>
    <t>Bethel Park</t>
  </si>
  <si>
    <t>ORD-160</t>
  </si>
  <si>
    <t>23-06-2023</t>
  </si>
  <si>
    <t>Courteney Cox</t>
  </si>
  <si>
    <t>Williamsport</t>
  </si>
  <si>
    <t>ORD-161</t>
  </si>
  <si>
    <t>6/24/2023</t>
  </si>
  <si>
    <t>Lisa Kudrow</t>
  </si>
  <si>
    <t>Monroeville</t>
  </si>
  <si>
    <t>ORD-162</t>
  </si>
  <si>
    <t>25-Jun-2023</t>
  </si>
  <si>
    <t>Gwyneth Paltrow</t>
  </si>
  <si>
    <t>Plum</t>
  </si>
  <si>
    <t>ORD-163</t>
  </si>
  <si>
    <t>6/26/2023</t>
  </si>
  <si>
    <t>Megan Fox</t>
  </si>
  <si>
    <t>Easton</t>
  </si>
  <si>
    <t>ORD-164</t>
  </si>
  <si>
    <t>2023-06-27</t>
  </si>
  <si>
    <t>Jessica Alba</t>
  </si>
  <si>
    <t>Lebanon</t>
  </si>
  <si>
    <t>ORD-165</t>
  </si>
  <si>
    <t>28-06-2023</t>
  </si>
  <si>
    <t>Hazleton</t>
  </si>
  <si>
    <t>ORD-166</t>
  </si>
  <si>
    <t>6/29/2023</t>
  </si>
  <si>
    <t>Mila Kunis</t>
  </si>
  <si>
    <t>ORD-167</t>
  </si>
  <si>
    <t>30-Jun-2023</t>
  </si>
  <si>
    <t>Natalie Portman</t>
  </si>
  <si>
    <t>New Castle</t>
  </si>
  <si>
    <t>ORD-168</t>
  </si>
  <si>
    <t>7/1/2023</t>
  </si>
  <si>
    <t>Keira Knightley</t>
  </si>
  <si>
    <t>Pottstown</t>
  </si>
  <si>
    <t>ORD-169</t>
  </si>
  <si>
    <t>7/2/2023</t>
  </si>
  <si>
    <t xml:space="preserve"> Daniel Craig </t>
  </si>
  <si>
    <t>ORD-170</t>
  </si>
  <si>
    <t>2023-07-03</t>
  </si>
  <si>
    <t>sean connery</t>
  </si>
  <si>
    <t>tucson</t>
  </si>
  <si>
    <t>ORD-171</t>
  </si>
  <si>
    <t>04-Jul-2023</t>
  </si>
  <si>
    <t>Roger Moore</t>
  </si>
  <si>
    <t>ORD-172</t>
  </si>
  <si>
    <t>7/5/2023</t>
  </si>
  <si>
    <t>pierce brosnan</t>
  </si>
  <si>
    <t>Mesa</t>
  </si>
  <si>
    <t>ORD-173</t>
  </si>
  <si>
    <t>7/6/2023</t>
  </si>
  <si>
    <t>Timothy Dalton</t>
  </si>
  <si>
    <t>Chandler</t>
  </si>
  <si>
    <t>ORD-174</t>
  </si>
  <si>
    <t>07-07-2023</t>
  </si>
  <si>
    <t>George Lazenby</t>
  </si>
  <si>
    <t>ORD-175</t>
  </si>
  <si>
    <t>7/8/2023</t>
  </si>
  <si>
    <t>Judi Dench</t>
  </si>
  <si>
    <t>Scottsdale</t>
  </si>
  <si>
    <t>ORD-176</t>
  </si>
  <si>
    <t>7/9/2023</t>
  </si>
  <si>
    <t>Ralph Fiennes</t>
  </si>
  <si>
    <t>ORD-177</t>
  </si>
  <si>
    <t>10-Jul-2023</t>
  </si>
  <si>
    <t>Naomie Harris</t>
  </si>
  <si>
    <t>Gilbert</t>
  </si>
  <si>
    <t>ORD-178</t>
  </si>
  <si>
    <t>7/11/2023</t>
  </si>
  <si>
    <t>Ben Whishaw</t>
  </si>
  <si>
    <t>Tempe</t>
  </si>
  <si>
    <t>ORD-179</t>
  </si>
  <si>
    <t>7/12/2023</t>
  </si>
  <si>
    <t>Rory Kinnear</t>
  </si>
  <si>
    <t>ORD-180</t>
  </si>
  <si>
    <t>2023-07-13</t>
  </si>
  <si>
    <t>Jeffrey Wright</t>
  </si>
  <si>
    <t>Surprise</t>
  </si>
  <si>
    <t>ORD-181</t>
  </si>
  <si>
    <t>14-07-2023</t>
  </si>
  <si>
    <t>Léa Seydoux</t>
  </si>
  <si>
    <t>Yuma</t>
  </si>
  <si>
    <t>ORD-182</t>
  </si>
  <si>
    <t>7/15/2023</t>
  </si>
  <si>
    <t>Christoph Waltz</t>
  </si>
  <si>
    <t>San Tan Valley</t>
  </si>
  <si>
    <t>ORD-183</t>
  </si>
  <si>
    <t>7/16/2023</t>
  </si>
  <si>
    <t>Javier Bardem</t>
  </si>
  <si>
    <t>Avondale</t>
  </si>
  <si>
    <t>ORD-184</t>
  </si>
  <si>
    <t>17-Jul-2023</t>
  </si>
  <si>
    <t>Rami Malek</t>
  </si>
  <si>
    <t>Goodyear</t>
  </si>
  <si>
    <t>ORD-185</t>
  </si>
  <si>
    <t>7/18/2023</t>
  </si>
  <si>
    <t>Mads Mikkelsen</t>
  </si>
  <si>
    <t>Flagstaff</t>
  </si>
  <si>
    <t>ORD-186</t>
  </si>
  <si>
    <t>7/19/2023</t>
  </si>
  <si>
    <t>Mathieu Amalric</t>
  </si>
  <si>
    <t>ORD-187</t>
  </si>
  <si>
    <t>2023-07-20</t>
  </si>
  <si>
    <t>Toby Stephens</t>
  </si>
  <si>
    <t>Buckeye</t>
  </si>
  <si>
    <t>ORD-188</t>
  </si>
  <si>
    <t>21-07-2023</t>
  </si>
  <si>
    <t>Sean Bean</t>
  </si>
  <si>
    <t>Lake Havasu City</t>
  </si>
  <si>
    <t>ORD-189</t>
  </si>
  <si>
    <t>7/22/2023</t>
  </si>
  <si>
    <t>Robert Carlyle</t>
  </si>
  <si>
    <t>Casa Grande</t>
  </si>
  <si>
    <t>ORD-190</t>
  </si>
  <si>
    <t>23-Jul-2023</t>
  </si>
  <si>
    <t>Sophie Marceau</t>
  </si>
  <si>
    <t>Sierra Vista</t>
  </si>
  <si>
    <t>ORD-191</t>
  </si>
  <si>
    <t>7/24/2023</t>
  </si>
  <si>
    <t>Famke Janssen</t>
  </si>
  <si>
    <t>Maricopa</t>
  </si>
  <si>
    <t>ORD-192</t>
  </si>
  <si>
    <t>2023-07-25</t>
  </si>
  <si>
    <t>Izabella Scorupco</t>
  </si>
  <si>
    <t>Oro Valley</t>
  </si>
  <si>
    <t>ORD-193</t>
  </si>
  <si>
    <t>26-07-2023</t>
  </si>
  <si>
    <t>Carey Lowell</t>
  </si>
  <si>
    <t>Prescott</t>
  </si>
  <si>
    <t>ORD-194</t>
  </si>
  <si>
    <t>7/27/2023</t>
  </si>
  <si>
    <t>Talisa Soto</t>
  </si>
  <si>
    <t>ORD-195</t>
  </si>
  <si>
    <t>28-Jul-2023</t>
  </si>
  <si>
    <t>Maryam d'Abo</t>
  </si>
  <si>
    <t>Bullhead City</t>
  </si>
  <si>
    <t>ORD-196</t>
  </si>
  <si>
    <t>7/29/2023</t>
  </si>
  <si>
    <t>Grace Jones</t>
  </si>
  <si>
    <t>Prescott Valley</t>
  </si>
  <si>
    <t>ORD-197</t>
  </si>
  <si>
    <t>7/30/2023</t>
  </si>
  <si>
    <t xml:space="preserve"> Harrison Ford </t>
  </si>
  <si>
    <t>ORD-198</t>
  </si>
  <si>
    <t>2023-07-31</t>
  </si>
  <si>
    <t>carrie fisher</t>
  </si>
  <si>
    <t>cleveland</t>
  </si>
  <si>
    <t>ORD-199</t>
  </si>
  <si>
    <t>01-Aug-2023</t>
  </si>
  <si>
    <t>Mark Hamill</t>
  </si>
  <si>
    <t>ORD-200</t>
  </si>
  <si>
    <t>8/2/2023</t>
  </si>
  <si>
    <t>alec guinness</t>
  </si>
  <si>
    <t>Cincinnati</t>
  </si>
  <si>
    <t>ORD-201</t>
  </si>
  <si>
    <t>8/3/2023</t>
  </si>
  <si>
    <t>Peter Mayhew</t>
  </si>
  <si>
    <t>Toledo</t>
  </si>
  <si>
    <t>ORD-202</t>
  </si>
  <si>
    <t>04-08-2023</t>
  </si>
  <si>
    <t>Anthony Daniels</t>
  </si>
  <si>
    <t>Akron</t>
  </si>
  <si>
    <t>ORD-203</t>
  </si>
  <si>
    <t>8/5/2023</t>
  </si>
  <si>
    <t>Kenny Baker</t>
  </si>
  <si>
    <t>Dayton</t>
  </si>
  <si>
    <t>ORD-204</t>
  </si>
  <si>
    <t>8/6/2023</t>
  </si>
  <si>
    <t>Billy Dee Williams</t>
  </si>
  <si>
    <t>ORD-205</t>
  </si>
  <si>
    <t>07-Aug-2023</t>
  </si>
  <si>
    <t>Frank Oz</t>
  </si>
  <si>
    <t>Parma</t>
  </si>
  <si>
    <t>ORD-206</t>
  </si>
  <si>
    <t>8/8/2023</t>
  </si>
  <si>
    <t>David Prowse</t>
  </si>
  <si>
    <t>Canton</t>
  </si>
  <si>
    <t>ORD-207</t>
  </si>
  <si>
    <t>8/9/2023</t>
  </si>
  <si>
    <t>James Earl Jones</t>
  </si>
  <si>
    <t>Youngstown</t>
  </si>
  <si>
    <t>ORD-208</t>
  </si>
  <si>
    <t>2023-08-10</t>
  </si>
  <si>
    <t>Ian McDiarmid</t>
  </si>
  <si>
    <t>Lorain</t>
  </si>
  <si>
    <t>ORD-209</t>
  </si>
  <si>
    <t>11-08-2023</t>
  </si>
  <si>
    <t>Ewan McGregor</t>
  </si>
  <si>
    <t>Hamilton</t>
  </si>
  <si>
    <t>ORD-210</t>
  </si>
  <si>
    <t>8/12/2023</t>
  </si>
  <si>
    <t>ORD-211</t>
  </si>
  <si>
    <t>8/13/2023</t>
  </si>
  <si>
    <t>Hayden Christensen</t>
  </si>
  <si>
    <t>Kettering</t>
  </si>
  <si>
    <t>ORD-212</t>
  </si>
  <si>
    <t>14-Aug-2023</t>
  </si>
  <si>
    <t>Liam Neeson</t>
  </si>
  <si>
    <t>Elyria</t>
  </si>
  <si>
    <t>ORD-213</t>
  </si>
  <si>
    <t>8/15/2023</t>
  </si>
  <si>
    <t>Lakewood</t>
  </si>
  <si>
    <t>ORD-214</t>
  </si>
  <si>
    <t>8/16/2023</t>
  </si>
  <si>
    <t>Christopher Lee</t>
  </si>
  <si>
    <t>ORD-215</t>
  </si>
  <si>
    <t>2023-08-17</t>
  </si>
  <si>
    <t>Jimmy Smits</t>
  </si>
  <si>
    <t>Cuyahoga Falls</t>
  </si>
  <si>
    <t>ORD-216</t>
  </si>
  <si>
    <t>18-08-2023</t>
  </si>
  <si>
    <t>Daisy Ridley</t>
  </si>
  <si>
    <t>Euclid</t>
  </si>
  <si>
    <t>ORD-217</t>
  </si>
  <si>
    <t>8/19/2023</t>
  </si>
  <si>
    <t>John Boyega</t>
  </si>
  <si>
    <t>Middletown</t>
  </si>
  <si>
    <t>ORD-218</t>
  </si>
  <si>
    <t>20-Aug-2023</t>
  </si>
  <si>
    <t>Oscar Isaac</t>
  </si>
  <si>
    <t>Mansfield</t>
  </si>
  <si>
    <t>ORD-219</t>
  </si>
  <si>
    <t>8/21/2023</t>
  </si>
  <si>
    <t>Adam Driver</t>
  </si>
  <si>
    <t>Newark</t>
  </si>
  <si>
    <t>ORD-220</t>
  </si>
  <si>
    <t>2023-08-22</t>
  </si>
  <si>
    <t>Domhnall Gleeson</t>
  </si>
  <si>
    <t>Strongsville</t>
  </si>
  <si>
    <t>ORD-221</t>
  </si>
  <si>
    <t>23-08-2023</t>
  </si>
  <si>
    <t>Gwendoline Christie</t>
  </si>
  <si>
    <t>Fairfield</t>
  </si>
  <si>
    <t>ORD-222</t>
  </si>
  <si>
    <t>8/24/2023</t>
  </si>
  <si>
    <t>Andy Serkis</t>
  </si>
  <si>
    <t>ORD-223</t>
  </si>
  <si>
    <t>25-Aug-2023</t>
  </si>
  <si>
    <t>Lupita Nyong'o</t>
  </si>
  <si>
    <t>Findlay</t>
  </si>
  <si>
    <t>ORD-224</t>
  </si>
  <si>
    <t>8/26/2023</t>
  </si>
  <si>
    <t>Kelly Marie Tran</t>
  </si>
  <si>
    <t>Warren</t>
  </si>
  <si>
    <t>ORD-225</t>
  </si>
  <si>
    <t>8/27/2023</t>
  </si>
  <si>
    <t xml:space="preserve"> Chris Pine </t>
  </si>
  <si>
    <t>ORD-226</t>
  </si>
  <si>
    <t>2023-08-28</t>
  </si>
  <si>
    <t>zachary quinto</t>
  </si>
  <si>
    <t>raleigh</t>
  </si>
  <si>
    <t>ORD-227</t>
  </si>
  <si>
    <t>29-Aug-2023</t>
  </si>
  <si>
    <t>Karl Urban</t>
  </si>
  <si>
    <t>ORD-228</t>
  </si>
  <si>
    <t>8/30/2023</t>
  </si>
  <si>
    <t>zoe saldana</t>
  </si>
  <si>
    <t>Greensboro</t>
  </si>
  <si>
    <t>ORD-229</t>
  </si>
  <si>
    <t>8/31/2023</t>
  </si>
  <si>
    <t>Simon Pegg</t>
  </si>
  <si>
    <t>Durham</t>
  </si>
  <si>
    <t>ORD-230</t>
  </si>
  <si>
    <t>01-09-2023</t>
  </si>
  <si>
    <t>John Cho</t>
  </si>
  <si>
    <t>Winston-Salem</t>
  </si>
  <si>
    <t>ORD-231</t>
  </si>
  <si>
    <t>9/2/2023</t>
  </si>
  <si>
    <t>Anton Yelchin</t>
  </si>
  <si>
    <t>Fayetteville</t>
  </si>
  <si>
    <t>ORD-232</t>
  </si>
  <si>
    <t>9/3/2023</t>
  </si>
  <si>
    <t>Bruce Greenwood</t>
  </si>
  <si>
    <t>ORD-233</t>
  </si>
  <si>
    <t>04-Sep-2023</t>
  </si>
  <si>
    <t>Eric Bana</t>
  </si>
  <si>
    <t>Cary</t>
  </si>
  <si>
    <t>ORD-234</t>
  </si>
  <si>
    <t>9/5/2023</t>
  </si>
  <si>
    <t>Winona Ryder</t>
  </si>
  <si>
    <t>Wilmington</t>
  </si>
  <si>
    <t>ORD-235</t>
  </si>
  <si>
    <t>9/6/2023</t>
  </si>
  <si>
    <t>High Point</t>
  </si>
  <si>
    <t>ORD-236</t>
  </si>
  <si>
    <t>2023-09-07</t>
  </si>
  <si>
    <t>Alice Eve</t>
  </si>
  <si>
    <t>Concord</t>
  </si>
  <si>
    <t>ORD-237</t>
  </si>
  <si>
    <t>08-09-2023</t>
  </si>
  <si>
    <t>Peter Weller</t>
  </si>
  <si>
    <t>Asheville</t>
  </si>
  <si>
    <t>ORD-238</t>
  </si>
  <si>
    <t>9/9/2023</t>
  </si>
  <si>
    <t>Idris Elba</t>
  </si>
  <si>
    <t>Greenville</t>
  </si>
  <si>
    <t>ORD-239</t>
  </si>
  <si>
    <t>9/10/2023</t>
  </si>
  <si>
    <t>Sofia Boutella</t>
  </si>
  <si>
    <t>Gastonia</t>
  </si>
  <si>
    <t>ORD-240</t>
  </si>
  <si>
    <t>11-Sep-2023</t>
  </si>
  <si>
    <t>Joe Taslim</t>
  </si>
  <si>
    <t>ORD-241</t>
  </si>
  <si>
    <t>9/12/2023</t>
  </si>
  <si>
    <t>Patrick Stewart</t>
  </si>
  <si>
    <t>Huntersville</t>
  </si>
  <si>
    <t>ORD-242</t>
  </si>
  <si>
    <t>9/13/2023</t>
  </si>
  <si>
    <t>Jonathan Frakes</t>
  </si>
  <si>
    <t>ORD-243</t>
  </si>
  <si>
    <t>2023-09-14</t>
  </si>
  <si>
    <t>LeVar Burton</t>
  </si>
  <si>
    <t>Chapel Hill</t>
  </si>
  <si>
    <t>ORD-244</t>
  </si>
  <si>
    <t>15-09-2023</t>
  </si>
  <si>
    <t>Marina Sirtis</t>
  </si>
  <si>
    <t>Burlington</t>
  </si>
  <si>
    <t>ORD-245</t>
  </si>
  <si>
    <t>9/16/2023</t>
  </si>
  <si>
    <t>Brent Spiner</t>
  </si>
  <si>
    <t>Apex</t>
  </si>
  <si>
    <t>ORD-246</t>
  </si>
  <si>
    <t>17-Sep-2023</t>
  </si>
  <si>
    <t>Michael Dorn</t>
  </si>
  <si>
    <t>Kannapolis</t>
  </si>
  <si>
    <t>ORD-247</t>
  </si>
  <si>
    <t>9/18/2023</t>
  </si>
  <si>
    <t>Gates McFadden</t>
  </si>
  <si>
    <t>Rocky Mount</t>
  </si>
  <si>
    <t>ORD-248</t>
  </si>
  <si>
    <t>2023-09-19</t>
  </si>
  <si>
    <t>Wil Wheaton</t>
  </si>
  <si>
    <t>Mooresville</t>
  </si>
  <si>
    <t>ORD-249</t>
  </si>
  <si>
    <t>20-09-2023</t>
  </si>
  <si>
    <t>Colm Meaney</t>
  </si>
  <si>
    <t>Wake Forest</t>
  </si>
  <si>
    <t>ORD-250</t>
  </si>
  <si>
    <t>9/21/2023</t>
  </si>
  <si>
    <t>Whoopi Goldberg</t>
  </si>
  <si>
    <t>ORD-251</t>
  </si>
  <si>
    <t>22-Sep-2023</t>
  </si>
  <si>
    <t>Avery Brooks</t>
  </si>
  <si>
    <t>Hickory</t>
  </si>
  <si>
    <t>ORD-252</t>
  </si>
  <si>
    <t>9/23/2023</t>
  </si>
  <si>
    <t>Rene Auberjonois</t>
  </si>
  <si>
    <t>Holly Springs</t>
  </si>
  <si>
    <t>ORD-253</t>
  </si>
  <si>
    <t>9/24/2023</t>
  </si>
  <si>
    <t xml:space="preserve"> Terry Farrell </t>
  </si>
  <si>
    <t>ORD-254</t>
  </si>
  <si>
    <t>2023-09-25</t>
  </si>
  <si>
    <t>alexander siddig</t>
  </si>
  <si>
    <t>spokane</t>
  </si>
  <si>
    <t>ORD-255</t>
  </si>
  <si>
    <t>26-Sep-2023</t>
  </si>
  <si>
    <t>Nana Visitor</t>
  </si>
  <si>
    <t>ORD-256</t>
  </si>
  <si>
    <t>9/27/2023</t>
  </si>
  <si>
    <t>michael dorn</t>
  </si>
  <si>
    <t>Tacoma</t>
  </si>
  <si>
    <t>ORD-257</t>
  </si>
  <si>
    <t>9/28/2023</t>
  </si>
  <si>
    <t>Armin Shimerman</t>
  </si>
  <si>
    <t>Vancouver</t>
  </si>
  <si>
    <t>ORD-258</t>
  </si>
  <si>
    <t>29-09-2023</t>
  </si>
  <si>
    <t>Cirroc Lofton</t>
  </si>
  <si>
    <t>Bellevue</t>
  </si>
  <si>
    <t>ORD-259</t>
  </si>
  <si>
    <t>9/30/2023</t>
  </si>
  <si>
    <t>Kate Mulgrew</t>
  </si>
  <si>
    <t>Kent</t>
  </si>
  <si>
    <t>ORD-260</t>
  </si>
  <si>
    <t>10/1/2023</t>
  </si>
  <si>
    <t>Robert Beltran</t>
  </si>
  <si>
    <t>ORD-261</t>
  </si>
  <si>
    <t>02-Oct-2023</t>
  </si>
  <si>
    <t>Roxann Dawson</t>
  </si>
  <si>
    <t>Everett</t>
  </si>
  <si>
    <t>ORD-262</t>
  </si>
  <si>
    <t>10/3/2023</t>
  </si>
  <si>
    <t>Robert Duncan McNeill</t>
  </si>
  <si>
    <t>Renton</t>
  </si>
  <si>
    <t>ORD-263</t>
  </si>
  <si>
    <t>10/4/2023</t>
  </si>
  <si>
    <t>Ethan Phillips</t>
  </si>
  <si>
    <t>Spokane Valley</t>
  </si>
  <si>
    <t>ORD-264</t>
  </si>
  <si>
    <t>2023-10-05</t>
  </si>
  <si>
    <t>Robert Picardo</t>
  </si>
  <si>
    <t>Federal Way</t>
  </si>
  <si>
    <t>ORD-265</t>
  </si>
  <si>
    <t>06-10-2023</t>
  </si>
  <si>
    <t>Tim Russ</t>
  </si>
  <si>
    <t>Yakima</t>
  </si>
  <si>
    <t>ORD-266</t>
  </si>
  <si>
    <t>10/7/2023</t>
  </si>
  <si>
    <t>Garrett Wang</t>
  </si>
  <si>
    <t>Bellingham</t>
  </si>
  <si>
    <t>ORD-267</t>
  </si>
  <si>
    <t>10/8/2023</t>
  </si>
  <si>
    <t>Jeri Ryan</t>
  </si>
  <si>
    <t>Kirkland</t>
  </si>
  <si>
    <t>ORD-268</t>
  </si>
  <si>
    <t>09-Oct-2023</t>
  </si>
  <si>
    <t>Scott Bakula</t>
  </si>
  <si>
    <t>Kennewick</t>
  </si>
  <si>
    <t>ORD-269</t>
  </si>
  <si>
    <t>10/10/2023</t>
  </si>
  <si>
    <t>Jolene Blalock</t>
  </si>
  <si>
    <t>Auburn</t>
  </si>
  <si>
    <t>ORD-270</t>
  </si>
  <si>
    <t>10/11/2023</t>
  </si>
  <si>
    <t>Connor Trinneer</t>
  </si>
  <si>
    <t>ORD-271</t>
  </si>
  <si>
    <t>2023-10-12</t>
  </si>
  <si>
    <t>Dominic Keating</t>
  </si>
  <si>
    <t>Pasco</t>
  </si>
  <si>
    <t>ORD-272</t>
  </si>
  <si>
    <t>13-10-2023</t>
  </si>
  <si>
    <t>Linda Park</t>
  </si>
  <si>
    <t>Marysville</t>
  </si>
  <si>
    <t>ORD-273</t>
  </si>
  <si>
    <t>10/14/2023</t>
  </si>
  <si>
    <t>Anthony Montgomery</t>
  </si>
  <si>
    <t>ORD-274</t>
  </si>
  <si>
    <t>15-Oct-2023</t>
  </si>
  <si>
    <t>John Billingsley</t>
  </si>
  <si>
    <t>Redmond</t>
  </si>
  <si>
    <t>ORD-275</t>
  </si>
  <si>
    <t>10/16/2023</t>
  </si>
  <si>
    <t>Shoreline</t>
  </si>
  <si>
    <t>ORD-276</t>
  </si>
  <si>
    <t>2023-10-17</t>
  </si>
  <si>
    <t>Sonequa Martin-Green</t>
  </si>
  <si>
    <t>Richland</t>
  </si>
  <si>
    <t>ORD-277</t>
  </si>
  <si>
    <t>18-10-2023</t>
  </si>
  <si>
    <t>Doug Jones</t>
  </si>
  <si>
    <t>Sammamish</t>
  </si>
  <si>
    <t>ORD-278</t>
  </si>
  <si>
    <t>10/19/2023</t>
  </si>
  <si>
    <t>Anthony Rapp</t>
  </si>
  <si>
    <t>ORD-279</t>
  </si>
  <si>
    <t>20-Oct-2023</t>
  </si>
  <si>
    <t>Mary Wiseman</t>
  </si>
  <si>
    <t>Burien</t>
  </si>
  <si>
    <t>ORD-280</t>
  </si>
  <si>
    <t>10/21/2023</t>
  </si>
  <si>
    <t>Wilson Cruz</t>
  </si>
  <si>
    <t>Olympia</t>
  </si>
  <si>
    <t>ORD-281</t>
  </si>
  <si>
    <t>10/22/2023</t>
  </si>
  <si>
    <t xml:space="preserve"> Anson Mount </t>
  </si>
  <si>
    <t>ORD-282</t>
  </si>
  <si>
    <t>2023-10-23</t>
  </si>
  <si>
    <t>ethan peck</t>
  </si>
  <si>
    <t>colorado springs</t>
  </si>
  <si>
    <t>ORD-283</t>
  </si>
  <si>
    <t>24-Oct-2023</t>
  </si>
  <si>
    <t>Rebecca Romijn</t>
  </si>
  <si>
    <t>ORD-284</t>
  </si>
  <si>
    <t>10/25/2023</t>
  </si>
  <si>
    <t>jess bush</t>
  </si>
  <si>
    <t>Aurora</t>
  </si>
  <si>
    <t>ORD-285</t>
  </si>
  <si>
    <t>10/26/2023</t>
  </si>
  <si>
    <t>Christina Chong</t>
  </si>
  <si>
    <t>Fort Collins</t>
  </si>
  <si>
    <t>ORD-286</t>
  </si>
  <si>
    <t>27-10-2023</t>
  </si>
  <si>
    <t>Celia Rose Gooding</t>
  </si>
  <si>
    <t>ORD-287</t>
  </si>
  <si>
    <t>10/28/2023</t>
  </si>
  <si>
    <t>Melissa Navia</t>
  </si>
  <si>
    <t>Thornton</t>
  </si>
  <si>
    <t>ORD-288</t>
  </si>
  <si>
    <t>10/29/2023</t>
  </si>
  <si>
    <t>Babs Olusanmokun</t>
  </si>
  <si>
    <t>ORD-289</t>
  </si>
  <si>
    <t>30-Oct-2023</t>
  </si>
  <si>
    <t>Bruce Campbell</t>
  </si>
  <si>
    <t>Arvada</t>
  </si>
  <si>
    <t>ORD-290</t>
  </si>
  <si>
    <t>10/31/2023</t>
  </si>
  <si>
    <t>Ellen Sandweiss</t>
  </si>
  <si>
    <t>Westminster</t>
  </si>
  <si>
    <t>ORD-291</t>
  </si>
  <si>
    <t>11/1/2023</t>
  </si>
  <si>
    <t>Richard DeManincor</t>
  </si>
  <si>
    <t>Pueblo</t>
  </si>
  <si>
    <t>ORD-292</t>
  </si>
  <si>
    <t>2023-11-02</t>
  </si>
  <si>
    <t>Betsy Baker</t>
  </si>
  <si>
    <t>Centennial</t>
  </si>
  <si>
    <t>ORD-293</t>
  </si>
  <si>
    <t>03-11-2023</t>
  </si>
  <si>
    <t>Theresa Tilly</t>
  </si>
  <si>
    <t>Boulder</t>
  </si>
  <si>
    <t>ORD-294</t>
  </si>
  <si>
    <t>11/4/2023</t>
  </si>
  <si>
    <t>Sarah Michelle Gellar</t>
  </si>
  <si>
    <t>Greeley</t>
  </si>
  <si>
    <t>ORD-295</t>
  </si>
  <si>
    <t>11/5/2023</t>
  </si>
  <si>
    <t>Nicholas Brendon</t>
  </si>
  <si>
    <t>Longmont</t>
  </si>
  <si>
    <t>ORD-296</t>
  </si>
  <si>
    <t>06-Nov-2023</t>
  </si>
  <si>
    <t>Alyson Hannigan</t>
  </si>
  <si>
    <t>Loveland</t>
  </si>
  <si>
    <t>ORD-297</t>
  </si>
  <si>
    <t>11/7/2023</t>
  </si>
  <si>
    <t>Charisma Carpenter</t>
  </si>
  <si>
    <t>Grand Junction</t>
  </si>
  <si>
    <t>ORD-298</t>
  </si>
  <si>
    <t>11/8/2023</t>
  </si>
  <si>
    <t>Anthony Head</t>
  </si>
  <si>
    <t>ORD-299</t>
  </si>
  <si>
    <t>2023-11-09</t>
  </si>
  <si>
    <t>David Boreanaz</t>
  </si>
  <si>
    <t>Broomfield</t>
  </si>
  <si>
    <t>ORD-300</t>
  </si>
  <si>
    <t>10-11-2023</t>
  </si>
  <si>
    <t>Seth Green</t>
  </si>
  <si>
    <t>Castle Rock</t>
  </si>
  <si>
    <t>ORD-301</t>
  </si>
  <si>
    <t>11/11/2023</t>
  </si>
  <si>
    <t>James Marsters</t>
  </si>
  <si>
    <t>Commerce City</t>
  </si>
  <si>
    <t>ORD-302</t>
  </si>
  <si>
    <t>12-Nov-2023</t>
  </si>
  <si>
    <t>Marc Blucas</t>
  </si>
  <si>
    <t>Parker</t>
  </si>
  <si>
    <t>ORD-303</t>
  </si>
  <si>
    <t>11/13/2023</t>
  </si>
  <si>
    <t>Emma Caulfield</t>
  </si>
  <si>
    <t>Littleton</t>
  </si>
  <si>
    <t>ORD-304</t>
  </si>
  <si>
    <t>2023-11-14</t>
  </si>
  <si>
    <t>Michelle Trachtenberg</t>
  </si>
  <si>
    <t>Northglenn</t>
  </si>
  <si>
    <t>ORD-305</t>
  </si>
  <si>
    <t>15-11-2023</t>
  </si>
  <si>
    <t>Amber Benson</t>
  </si>
  <si>
    <t>Brighton</t>
  </si>
  <si>
    <t>ORD-306</t>
  </si>
  <si>
    <t>11/16/2023</t>
  </si>
  <si>
    <t>Eliza Dushku</t>
  </si>
  <si>
    <t>ORD-307</t>
  </si>
  <si>
    <t>17-Nov-2023</t>
  </si>
  <si>
    <t>Gillian Anderson</t>
  </si>
  <si>
    <t>Security-Widefield</t>
  </si>
  <si>
    <t>ORD-308</t>
  </si>
  <si>
    <t>11/18/2023</t>
  </si>
  <si>
    <t>Ken Caryl</t>
  </si>
  <si>
    <t>ORD-309</t>
  </si>
  <si>
    <t>11/19/2023</t>
  </si>
  <si>
    <t xml:space="preserve"> Mitch Pileggi </t>
  </si>
  <si>
    <t>ORD-310</t>
  </si>
  <si>
    <t>2023-11-20</t>
  </si>
  <si>
    <t>william b. davis</t>
  </si>
  <si>
    <t>washington</t>
  </si>
  <si>
    <t>ORD-311</t>
  </si>
  <si>
    <t>21-Nov-2023</t>
  </si>
  <si>
    <t>Tom Braidwood</t>
  </si>
  <si>
    <t>ORD-312</t>
  </si>
  <si>
    <t>11/22/2023</t>
  </si>
  <si>
    <t>bruce harwood</t>
  </si>
  <si>
    <t>ORD-313</t>
  </si>
  <si>
    <t>11/23/2023</t>
  </si>
  <si>
    <t>Dean Haglund</t>
  </si>
  <si>
    <t>ORD-314</t>
  </si>
  <si>
    <t>24-11-2023</t>
  </si>
  <si>
    <t>Jerry Seinfeld</t>
  </si>
  <si>
    <t>ORD-315</t>
  </si>
  <si>
    <t>11/25/2023</t>
  </si>
  <si>
    <t>Julia Louis-Dreyfus</t>
  </si>
  <si>
    <t>ORD-316</t>
  </si>
  <si>
    <t>11/26/2023</t>
  </si>
  <si>
    <t>Michael Richards</t>
  </si>
  <si>
    <t>ORD-317</t>
  </si>
  <si>
    <t>27-Nov-2023</t>
  </si>
  <si>
    <t>Jason Alexander</t>
  </si>
  <si>
    <t>ORD-318</t>
  </si>
  <si>
    <t>11/28/2023</t>
  </si>
  <si>
    <t>Wayne Knight</t>
  </si>
  <si>
    <t>ORD-319</t>
  </si>
  <si>
    <t>11/29/2023</t>
  </si>
  <si>
    <t>Steve Carell</t>
  </si>
  <si>
    <t>ORD-320</t>
  </si>
  <si>
    <t>2023-11-30</t>
  </si>
  <si>
    <t>Rainn Wilson</t>
  </si>
  <si>
    <t>ORD-321</t>
  </si>
  <si>
    <t>01-12-2023</t>
  </si>
  <si>
    <t>John Krasinski</t>
  </si>
  <si>
    <t>ORD-322</t>
  </si>
  <si>
    <t>12/2/2023</t>
  </si>
  <si>
    <t>Jenna Fischer</t>
  </si>
  <si>
    <t>ORD-323</t>
  </si>
  <si>
    <t>12/3/2023</t>
  </si>
  <si>
    <t>B.J. Novak</t>
  </si>
  <si>
    <t>ORD-324</t>
  </si>
  <si>
    <t>04-Dec-2023</t>
  </si>
  <si>
    <t>Ed Helms</t>
  </si>
  <si>
    <t>ORD-325</t>
  </si>
  <si>
    <t>12/5/2023</t>
  </si>
  <si>
    <t>James Spader</t>
  </si>
  <si>
    <t>ORD-326</t>
  </si>
  <si>
    <t>12/6/2023</t>
  </si>
  <si>
    <t>Matthew Perry</t>
  </si>
  <si>
    <t>ORD-327</t>
  </si>
  <si>
    <t>2023-12-07</t>
  </si>
  <si>
    <t>ORD-328</t>
  </si>
  <si>
    <t>08-12-2023</t>
  </si>
  <si>
    <t>ORD-329</t>
  </si>
  <si>
    <t>12/9/2023</t>
  </si>
  <si>
    <t>Matt LeBlanc</t>
  </si>
  <si>
    <t>ORD-330</t>
  </si>
  <si>
    <t>10-Dec-2023</t>
  </si>
  <si>
    <t>David Schwimmer</t>
  </si>
  <si>
    <t>ORD-331</t>
  </si>
  <si>
    <t>12/11/2023</t>
  </si>
  <si>
    <t>Kiefer Sutherland</t>
  </si>
  <si>
    <t>ORD-332</t>
  </si>
  <si>
    <t>2023-12-12</t>
  </si>
  <si>
    <t>Mary Lynn Rajskub</t>
  </si>
  <si>
    <t>ORD-333</t>
  </si>
  <si>
    <t>13-12-2023</t>
  </si>
  <si>
    <t>Carlos Bernard</t>
  </si>
  <si>
    <t>ORD-334</t>
  </si>
  <si>
    <t>12/14/2023</t>
  </si>
  <si>
    <t>Dennis Haysbert</t>
  </si>
  <si>
    <t>ORD-335</t>
  </si>
  <si>
    <t>15-Dec-2023</t>
  </si>
  <si>
    <t>Elisha Cuthbert</t>
  </si>
  <si>
    <t>ORD-336</t>
  </si>
  <si>
    <t>12/16/2023</t>
  </si>
  <si>
    <t>Reiko Aylesworth</t>
  </si>
  <si>
    <t>ORD-337</t>
  </si>
  <si>
    <t>12/17/2023</t>
  </si>
  <si>
    <t xml:space="preserve"> Hugh Laurie </t>
  </si>
  <si>
    <t>ORD-338</t>
  </si>
  <si>
    <t>2023-12-18</t>
  </si>
  <si>
    <t>lisa edelstein</t>
  </si>
  <si>
    <t>worcester</t>
  </si>
  <si>
    <t>ORD-339</t>
  </si>
  <si>
    <t>19-Dec-2023</t>
  </si>
  <si>
    <t>Omar Epps</t>
  </si>
  <si>
    <t>ORD-340</t>
  </si>
  <si>
    <t>12/20/2023</t>
  </si>
  <si>
    <t>robert sean leonard</t>
  </si>
  <si>
    <t>ORD-341</t>
  </si>
  <si>
    <t>12/21/2023</t>
  </si>
  <si>
    <t>Jesse Spencer</t>
  </si>
  <si>
    <t>Cambridge</t>
  </si>
  <si>
    <t>ORD-342</t>
  </si>
  <si>
    <t>22-12-2023</t>
  </si>
  <si>
    <t>Jennifer Morrison</t>
  </si>
  <si>
    <t>Lowell</t>
  </si>
  <si>
    <t>ORD-343</t>
  </si>
  <si>
    <t>12/23/2023</t>
  </si>
  <si>
    <t>Peter Jacobson</t>
  </si>
  <si>
    <t>Brockton</t>
  </si>
  <si>
    <t>ORD-344</t>
  </si>
  <si>
    <t>12/24/2023</t>
  </si>
  <si>
    <t>Olivia Wilde</t>
  </si>
  <si>
    <t>ORD-345</t>
  </si>
  <si>
    <t>25-Dec-2023</t>
  </si>
  <si>
    <t>Kal Penn</t>
  </si>
  <si>
    <t>New Bedford</t>
  </si>
  <si>
    <t>ORD-346</t>
  </si>
  <si>
    <t>12/26/2023</t>
  </si>
  <si>
    <t>Amber Tamblyn</t>
  </si>
  <si>
    <t>Quincy</t>
  </si>
  <si>
    <t>ORD-347</t>
  </si>
  <si>
    <t>12/27/2023</t>
  </si>
  <si>
    <t>Odette Annable</t>
  </si>
  <si>
    <t>Lynn</t>
  </si>
  <si>
    <t>ORD-348</t>
  </si>
  <si>
    <t>2023-12-28</t>
  </si>
  <si>
    <t>Charlyne Yi</t>
  </si>
  <si>
    <t>Fall River</t>
  </si>
  <si>
    <t>ORD-349</t>
  </si>
  <si>
    <t>29-12-2023</t>
  </si>
  <si>
    <t>Patrick Dempsey</t>
  </si>
  <si>
    <t>Newton</t>
  </si>
  <si>
    <t>ORD-350</t>
  </si>
  <si>
    <t>12/30/2023</t>
  </si>
  <si>
    <t>Ellen Pompeo</t>
  </si>
  <si>
    <t>Somerville</t>
  </si>
  <si>
    <t>ORD-351</t>
  </si>
  <si>
    <t>12/31/2023</t>
  </si>
  <si>
    <t>Sandra Oh</t>
  </si>
  <si>
    <t>Lawrence</t>
  </si>
  <si>
    <t>ORD-352</t>
  </si>
  <si>
    <t>01-Jan-2024</t>
  </si>
  <si>
    <t>Justin Chambers</t>
  </si>
  <si>
    <t>Waltham</t>
  </si>
  <si>
    <t>ORD-353</t>
  </si>
  <si>
    <t>1/2/2024</t>
  </si>
  <si>
    <t>Chandra Wilson</t>
  </si>
  <si>
    <t>Haverhill</t>
  </si>
  <si>
    <t>ORD-354</t>
  </si>
  <si>
    <t>1/3/2024</t>
  </si>
  <si>
    <t>James Pickens Jr.</t>
  </si>
  <si>
    <t>ORD-355</t>
  </si>
  <si>
    <t>2024-01-04</t>
  </si>
  <si>
    <t>Sara Ramirez</t>
  </si>
  <si>
    <t>Malden</t>
  </si>
  <si>
    <t>ORD-356</t>
  </si>
  <si>
    <t>05-01-2024</t>
  </si>
  <si>
    <t>Eric Dane</t>
  </si>
  <si>
    <t>Medford</t>
  </si>
  <si>
    <t>ORD-357</t>
  </si>
  <si>
    <t>1/6/2024</t>
  </si>
  <si>
    <t>Chyler Leigh</t>
  </si>
  <si>
    <t>Taunton</t>
  </si>
  <si>
    <t>ORD-358</t>
  </si>
  <si>
    <t>7-Jan-2024</t>
  </si>
  <si>
    <t>Kevin McKidd</t>
  </si>
  <si>
    <t>Chicopee</t>
  </si>
  <si>
    <t>ORD-359</t>
  </si>
  <si>
    <t>1/8/2024</t>
  </si>
  <si>
    <t>Jessica Capshaw</t>
  </si>
  <si>
    <t>Weymouth</t>
  </si>
  <si>
    <t>ORD-360</t>
  </si>
  <si>
    <t>2024-01-09</t>
  </si>
  <si>
    <t>Sarah Drew</t>
  </si>
  <si>
    <t>Revere</t>
  </si>
  <si>
    <t>ORD-361</t>
  </si>
  <si>
    <t>10-01-2024</t>
  </si>
  <si>
    <t>Jesse Williams</t>
  </si>
  <si>
    <t>Peabody</t>
  </si>
  <si>
    <t>ORD-362</t>
  </si>
  <si>
    <t>1/11/2024</t>
  </si>
  <si>
    <t>Camilla Luddington</t>
  </si>
  <si>
    <t>ORD-363</t>
  </si>
  <si>
    <t>12-Jan-2024</t>
  </si>
  <si>
    <t>Jerrika Hinton</t>
  </si>
  <si>
    <t>Methuen</t>
  </si>
  <si>
    <t>ORD-364</t>
  </si>
  <si>
    <t>1/13/2024</t>
  </si>
  <si>
    <t>Kelly McCreary</t>
  </si>
  <si>
    <t>Barnstable</t>
  </si>
  <si>
    <t>ORD-365</t>
  </si>
  <si>
    <t>1/14/2024</t>
  </si>
  <si>
    <t xml:space="preserve"> Andrew Lincoln </t>
  </si>
  <si>
    <t>ORD-366</t>
  </si>
  <si>
    <t>2024-01-15</t>
  </si>
  <si>
    <t>jon bernthal</t>
  </si>
  <si>
    <t>grand rapids</t>
  </si>
  <si>
    <t>ORD-367</t>
  </si>
  <si>
    <t>16-Jan-2024</t>
  </si>
  <si>
    <t>Sarah Wayne Callies</t>
  </si>
  <si>
    <t>ORD-368</t>
  </si>
  <si>
    <t>1/17/2024</t>
  </si>
  <si>
    <t>laurie holden</t>
  </si>
  <si>
    <t>ORD-369</t>
  </si>
  <si>
    <t>1/18/2024</t>
  </si>
  <si>
    <t>Jeffrey DeMunn</t>
  </si>
  <si>
    <t>Sterling Heights</t>
  </si>
  <si>
    <t>ORD-370</t>
  </si>
  <si>
    <t>19-01-2024</t>
  </si>
  <si>
    <t>Steven Yeun</t>
  </si>
  <si>
    <t>Ann Arbor</t>
  </si>
  <si>
    <t>ORD-371</t>
  </si>
  <si>
    <t>1/20/2024</t>
  </si>
  <si>
    <t>Chandler Riggs</t>
  </si>
  <si>
    <t>Lansing</t>
  </si>
  <si>
    <t>ORD-372</t>
  </si>
  <si>
    <t>1/21/2024</t>
  </si>
  <si>
    <t>Norman Reedus</t>
  </si>
  <si>
    <t>ORD-373</t>
  </si>
  <si>
    <t>22-Jan-2024</t>
  </si>
  <si>
    <t>Lauren Cohan</t>
  </si>
  <si>
    <t>Clinton</t>
  </si>
  <si>
    <t>ORD-374</t>
  </si>
  <si>
    <t>1/23/2024</t>
  </si>
  <si>
    <t>Danai Gurira</t>
  </si>
  <si>
    <t>ORD-375</t>
  </si>
  <si>
    <t>1/24/2024</t>
  </si>
  <si>
    <t>Michael Rooker</t>
  </si>
  <si>
    <t>Dearborn</t>
  </si>
  <si>
    <t>ORD-376</t>
  </si>
  <si>
    <t>2024-01-25</t>
  </si>
  <si>
    <t>David Morrissey</t>
  </si>
  <si>
    <t>Macomb</t>
  </si>
  <si>
    <t>ORD-377</t>
  </si>
  <si>
    <t>26-01-2024</t>
  </si>
  <si>
    <t>Melissa McBride</t>
  </si>
  <si>
    <t>Troy</t>
  </si>
  <si>
    <t>ORD-378</t>
  </si>
  <si>
    <t>1/27/2024</t>
  </si>
  <si>
    <t>Scott Wilson</t>
  </si>
  <si>
    <t>Westland</t>
  </si>
  <si>
    <t>ORD-379</t>
  </si>
  <si>
    <t>1/28/2024</t>
  </si>
  <si>
    <t>Michael Cudlitz</t>
  </si>
  <si>
    <t>Farmington Hills</t>
  </si>
  <si>
    <t>ORD-380</t>
  </si>
  <si>
    <t>29-Jan-2024</t>
  </si>
  <si>
    <t>Emily Kinney</t>
  </si>
  <si>
    <t>Flint</t>
  </si>
  <si>
    <t>ORD-381</t>
  </si>
  <si>
    <t>1/30/2024</t>
  </si>
  <si>
    <t>Chad L. Coleman</t>
  </si>
  <si>
    <t>Shelby</t>
  </si>
  <si>
    <t>ORD-382</t>
  </si>
  <si>
    <t>1/31/2024</t>
  </si>
  <si>
    <t>ORD-383</t>
  </si>
  <si>
    <t>2024-02-01</t>
  </si>
  <si>
    <t>Lawrence Gilliard Jr.</t>
  </si>
  <si>
    <t>Wyoming</t>
  </si>
  <si>
    <t>ORD-384</t>
  </si>
  <si>
    <t>02-02-2024</t>
  </si>
  <si>
    <t>Alanna Masterson</t>
  </si>
  <si>
    <t>Southfield</t>
  </si>
  <si>
    <t>ORD-385</t>
  </si>
  <si>
    <t>2/3/2024</t>
  </si>
  <si>
    <t>Michael Traynor</t>
  </si>
  <si>
    <t>Kalamazoo</t>
  </si>
  <si>
    <t>ORD-386</t>
  </si>
  <si>
    <t>4-Feb-2024</t>
  </si>
  <si>
    <t>Josh McDermitt</t>
  </si>
  <si>
    <t>Rochester Hills</t>
  </si>
  <si>
    <t>ORD-387</t>
  </si>
  <si>
    <t>2/5/2024</t>
  </si>
  <si>
    <t>Christian Serratos</t>
  </si>
  <si>
    <t>Taylor</t>
  </si>
  <si>
    <t>ORD-388</t>
  </si>
  <si>
    <t>2024-02-06</t>
  </si>
  <si>
    <t>Andrew J. West</t>
  </si>
  <si>
    <t>St. Clair Shores</t>
  </si>
  <si>
    <t>ORD-389</t>
  </si>
  <si>
    <t>07-02-2024</t>
  </si>
  <si>
    <t>Seth Gilliam</t>
  </si>
  <si>
    <t>Pontiac</t>
  </si>
  <si>
    <t>ORD-390</t>
  </si>
  <si>
    <t>2/8/2024</t>
  </si>
  <si>
    <t>Lennie James</t>
  </si>
  <si>
    <t>ORD-391</t>
  </si>
  <si>
    <t>9-Feb-2024</t>
  </si>
  <si>
    <t>Ross Marquand</t>
  </si>
  <si>
    <t>Dearborn Heights</t>
  </si>
  <si>
    <t>ORD-392</t>
  </si>
  <si>
    <t>2/10/2024</t>
  </si>
  <si>
    <t>Austin Nichols</t>
  </si>
  <si>
    <t>Royal Oak</t>
  </si>
  <si>
    <t>ORD-393</t>
  </si>
  <si>
    <t>2/11/2024</t>
  </si>
  <si>
    <t xml:space="preserve"> Gabriel Macht </t>
  </si>
  <si>
    <t>ORD-394</t>
  </si>
  <si>
    <t>2024-02-12</t>
  </si>
  <si>
    <t>patrick j. adams</t>
  </si>
  <si>
    <t>nashville</t>
  </si>
  <si>
    <t>ORD-395</t>
  </si>
  <si>
    <t>13-Feb-2024</t>
  </si>
  <si>
    <t>Rick Hoffman</t>
  </si>
  <si>
    <t>ORD-396</t>
  </si>
  <si>
    <t>2/14/2024</t>
  </si>
  <si>
    <t>meghan markle</t>
  </si>
  <si>
    <t>Knoxville</t>
  </si>
  <si>
    <t>ORD-397</t>
  </si>
  <si>
    <t>2/15/2024</t>
  </si>
  <si>
    <t>Sarah Rafferty</t>
  </si>
  <si>
    <t>Chattanooga</t>
  </si>
  <si>
    <t>ORD-398</t>
  </si>
  <si>
    <t>16-02-2024</t>
  </si>
  <si>
    <t>Gina Torres</t>
  </si>
  <si>
    <t>Clarksville</t>
  </si>
  <si>
    <t>ORD-399</t>
  </si>
  <si>
    <t>2/17/2024</t>
  </si>
  <si>
    <t>Amanda Schull</t>
  </si>
  <si>
    <t>Murfreesboro</t>
  </si>
  <si>
    <t>ORD-400</t>
  </si>
  <si>
    <t>2/18/2024</t>
  </si>
  <si>
    <t>Dulé Hill</t>
  </si>
  <si>
    <t>ORD-401</t>
  </si>
  <si>
    <t>19-Feb-2024</t>
  </si>
  <si>
    <t>Katherine Heigl</t>
  </si>
  <si>
    <t>Franklin</t>
  </si>
  <si>
    <t>ORD-402</t>
  </si>
  <si>
    <t>2/20/2024</t>
  </si>
  <si>
    <t>Bryan Cranston</t>
  </si>
  <si>
    <t>Jackson</t>
  </si>
  <si>
    <t>ORD-403</t>
  </si>
  <si>
    <t>2/21/2024</t>
  </si>
  <si>
    <t>Anna Gunn</t>
  </si>
  <si>
    <t>Johnson City</t>
  </si>
  <si>
    <t>ORD-404</t>
  </si>
  <si>
    <t>2024-02-22</t>
  </si>
  <si>
    <t>Aaron Paul</t>
  </si>
  <si>
    <t>Bartlett</t>
  </si>
  <si>
    <t>ORD-405</t>
  </si>
  <si>
    <t>23-02-2024</t>
  </si>
  <si>
    <t>Dean Norris</t>
  </si>
  <si>
    <t>Hendersonville</t>
  </si>
  <si>
    <t>ORD-406</t>
  </si>
  <si>
    <t>2/24/2024</t>
  </si>
  <si>
    <t>Betsy Brandt</t>
  </si>
  <si>
    <t>Kingsport</t>
  </si>
  <si>
    <t>ORD-407</t>
  </si>
  <si>
    <t>2/25/2024</t>
  </si>
  <si>
    <t>RJ Mitte</t>
  </si>
  <si>
    <t>Collierville</t>
  </si>
  <si>
    <t>ORD-408</t>
  </si>
  <si>
    <t>26-Feb-2024</t>
  </si>
  <si>
    <t>Bob Odenkirk</t>
  </si>
  <si>
    <t>Smyrna</t>
  </si>
  <si>
    <t>ORD-409</t>
  </si>
  <si>
    <t>2/27/2024</t>
  </si>
  <si>
    <t>Giancarlo Esposito</t>
  </si>
  <si>
    <t>Cleveland</t>
  </si>
  <si>
    <t>ORD-410</t>
  </si>
  <si>
    <t>2/28/2024</t>
  </si>
  <si>
    <t>Jonathan Banks</t>
  </si>
  <si>
    <t>ORD-411</t>
  </si>
  <si>
    <t>2024-02-29</t>
  </si>
  <si>
    <t>Laura Fraser</t>
  </si>
  <si>
    <t>Brentwood</t>
  </si>
  <si>
    <t>ORD-412</t>
  </si>
  <si>
    <t>01-03-2024</t>
  </si>
  <si>
    <t>Jesse Plemons</t>
  </si>
  <si>
    <t>Germantown</t>
  </si>
  <si>
    <t>ORD-413</t>
  </si>
  <si>
    <t>3/2/2024</t>
  </si>
  <si>
    <t>Jon Hamm</t>
  </si>
  <si>
    <t>Columbia</t>
  </si>
  <si>
    <t>ORD-414</t>
  </si>
  <si>
    <t>3-Mar-2024</t>
  </si>
  <si>
    <t>Elisabeth Moss</t>
  </si>
  <si>
    <t>Spring Hill</t>
  </si>
  <si>
    <t>ORD-415</t>
  </si>
  <si>
    <t>3/4/2024</t>
  </si>
  <si>
    <t>Vincent Kartheiser</t>
  </si>
  <si>
    <t>Gallatin</t>
  </si>
  <si>
    <t>ORD-416</t>
  </si>
  <si>
    <t>2024-03-05</t>
  </si>
  <si>
    <t>January Jones</t>
  </si>
  <si>
    <t>Mount Juliet</t>
  </si>
  <si>
    <t>ORD-417</t>
  </si>
  <si>
    <t>06-03-2024</t>
  </si>
  <si>
    <t>Christina Hendricks</t>
  </si>
  <si>
    <t>ORD-418</t>
  </si>
  <si>
    <t>3/7/2024</t>
  </si>
  <si>
    <t>John Slattery</t>
  </si>
  <si>
    <t>ORD-419</t>
  </si>
  <si>
    <t>8-Mar-2024</t>
  </si>
  <si>
    <t>Aaron Staton</t>
  </si>
  <si>
    <t>Morristown</t>
  </si>
  <si>
    <t>ORD-420</t>
  </si>
  <si>
    <t>3/9/2024</t>
  </si>
  <si>
    <t>Rich Sommer</t>
  </si>
  <si>
    <t>Oak Ridge</t>
  </si>
  <si>
    <t>ORD-421</t>
  </si>
  <si>
    <t>3/10/2024</t>
  </si>
  <si>
    <t xml:space="preserve"> Matthew Fox </t>
  </si>
  <si>
    <t>ORD-422</t>
  </si>
  <si>
    <t>2024-03-11</t>
  </si>
  <si>
    <t>evangeline lilly</t>
  </si>
  <si>
    <t>lexington</t>
  </si>
  <si>
    <t>ORD-423</t>
  </si>
  <si>
    <t>12-Mar-2024</t>
  </si>
  <si>
    <t>Jorge Garcia</t>
  </si>
  <si>
    <t>ORD-424</t>
  </si>
  <si>
    <t>3/13/2024</t>
  </si>
  <si>
    <t>josh holloway</t>
  </si>
  <si>
    <t>Bowling Green</t>
  </si>
  <si>
    <t>ORD-425</t>
  </si>
  <si>
    <t>3/14/2024</t>
  </si>
  <si>
    <t>Terry O'Quinn</t>
  </si>
  <si>
    <t>Owensboro</t>
  </si>
  <si>
    <t>ORD-426</t>
  </si>
  <si>
    <t>15-03-2024</t>
  </si>
  <si>
    <t>Naveen Andrews</t>
  </si>
  <si>
    <t>Covington</t>
  </si>
  <si>
    <t>ORD-427</t>
  </si>
  <si>
    <t>3/16/2024</t>
  </si>
  <si>
    <t>Daniel Dae Kim</t>
  </si>
  <si>
    <t>Richmond</t>
  </si>
  <si>
    <t>ORD-428</t>
  </si>
  <si>
    <t>3/17/2024</t>
  </si>
  <si>
    <t>Yunjin Kim</t>
  </si>
  <si>
    <t>ORD-429</t>
  </si>
  <si>
    <t>18-Mar-2024</t>
  </si>
  <si>
    <t>Emilie de Ravin</t>
  </si>
  <si>
    <t>Georgetown</t>
  </si>
  <si>
    <t>ORD-430</t>
  </si>
  <si>
    <t>3/19/2024</t>
  </si>
  <si>
    <t>Dominic Monaghan</t>
  </si>
  <si>
    <t>Florence</t>
  </si>
  <si>
    <t>ORD-431</t>
  </si>
  <si>
    <t>3/20/2024</t>
  </si>
  <si>
    <t>Harold Perrineau</t>
  </si>
  <si>
    <t>Hopkinsville</t>
  </si>
  <si>
    <t>ORD-432</t>
  </si>
  <si>
    <t>2024-03-21</t>
  </si>
  <si>
    <t>Elizabeth Mitchell</t>
  </si>
  <si>
    <t>Nicholasville</t>
  </si>
  <si>
    <t>ORD-433</t>
  </si>
  <si>
    <t>22-03-2024</t>
  </si>
  <si>
    <t>Ken Leung</t>
  </si>
  <si>
    <t>Elizabethtown</t>
  </si>
  <si>
    <t>ORD-434</t>
  </si>
  <si>
    <t>3/23/2024</t>
  </si>
  <si>
    <t>Michael Emerson</t>
  </si>
  <si>
    <t>Henderson</t>
  </si>
  <si>
    <t>ORD-435</t>
  </si>
  <si>
    <t>3/24/2024</t>
  </si>
  <si>
    <t>Henry Ian Cusick</t>
  </si>
  <si>
    <t>Frankfort</t>
  </si>
  <si>
    <t>ORD-436</t>
  </si>
  <si>
    <t>25-Mar-2024</t>
  </si>
  <si>
    <t>Jeff Probst</t>
  </si>
  <si>
    <t>Jeffersontown</t>
  </si>
  <si>
    <t>ORD-437</t>
  </si>
  <si>
    <t>3/26/2024</t>
  </si>
  <si>
    <t>Phil Keoghan</t>
  </si>
  <si>
    <t>Independence</t>
  </si>
  <si>
    <t>ORD-438</t>
  </si>
  <si>
    <t>3/27/2024</t>
  </si>
  <si>
    <t>Julie Chen Moonves</t>
  </si>
  <si>
    <t>ORD-439</t>
  </si>
  <si>
    <t>2024-03-28</t>
  </si>
  <si>
    <t>RuPaul Charles</t>
  </si>
  <si>
    <t>Paducah</t>
  </si>
  <si>
    <t>ORD-440</t>
  </si>
  <si>
    <t>29-03-2024</t>
  </si>
  <si>
    <t>Gordon Ramsay</t>
  </si>
  <si>
    <t>Radcliff</t>
  </si>
  <si>
    <t>ORD-441</t>
  </si>
  <si>
    <t>3/30/2024</t>
  </si>
  <si>
    <t>Padma Lakshmi</t>
  </si>
  <si>
    <t>Ashland</t>
  </si>
  <si>
    <t>ORD-442</t>
  </si>
  <si>
    <t>31-Mar-2024</t>
  </si>
  <si>
    <t>Tom Colicchio</t>
  </si>
  <si>
    <t>Madisonville</t>
  </si>
  <si>
    <t>ORD-443</t>
  </si>
  <si>
    <t>4/1/2024</t>
  </si>
  <si>
    <t>Gail Simmons</t>
  </si>
  <si>
    <t>Winchester</t>
  </si>
  <si>
    <t>ORD-444</t>
  </si>
  <si>
    <t>2024-04-02</t>
  </si>
  <si>
    <t>Tim Gunn</t>
  </si>
  <si>
    <t>Erlanger</t>
  </si>
  <si>
    <t>ORD-445</t>
  </si>
  <si>
    <t>03-04-2024</t>
  </si>
  <si>
    <t>Heidi Klum</t>
  </si>
  <si>
    <t>Murray</t>
  </si>
  <si>
    <t>ORD-446</t>
  </si>
  <si>
    <t>4/4/2024</t>
  </si>
  <si>
    <t>Nina Garcia</t>
  </si>
  <si>
    <t>ORD-447</t>
  </si>
  <si>
    <t>5-Apr-2024</t>
  </si>
  <si>
    <t>Zac Posen</t>
  </si>
  <si>
    <t>St. Matthews</t>
  </si>
  <si>
    <t>ORD-448</t>
  </si>
  <si>
    <t>4/6/2024</t>
  </si>
  <si>
    <t>Tyra Banks</t>
  </si>
  <si>
    <t>Fort Thomas</t>
  </si>
  <si>
    <t>ORD-449</t>
  </si>
  <si>
    <t>4/7/2024</t>
  </si>
  <si>
    <t xml:space="preserve"> Kiefer Sutherland </t>
  </si>
  <si>
    <t>ORD-450</t>
  </si>
  <si>
    <t>2024-04-08</t>
  </si>
  <si>
    <t>mary lynn rajskub</t>
  </si>
  <si>
    <t>salem</t>
  </si>
  <si>
    <t>ORD-451</t>
  </si>
  <si>
    <t>09-Apr-2024</t>
  </si>
  <si>
    <t>ORD-452</t>
  </si>
  <si>
    <t>4/10/2024</t>
  </si>
  <si>
    <t>dennis haysbert</t>
  </si>
  <si>
    <t>Eugene</t>
  </si>
  <si>
    <t>ORD-453</t>
  </si>
  <si>
    <t>4/11/2024</t>
  </si>
  <si>
    <t>Gresham</t>
  </si>
  <si>
    <t>ORD-454</t>
  </si>
  <si>
    <t>12-04-2024</t>
  </si>
  <si>
    <t>Simon Baker</t>
  </si>
  <si>
    <t>Hillsboro</t>
  </si>
  <si>
    <t>ORD-455</t>
  </si>
  <si>
    <t>4/13/2024</t>
  </si>
  <si>
    <t>Robin Tunney</t>
  </si>
  <si>
    <t>Beaverton</t>
  </si>
  <si>
    <t>ORD-456</t>
  </si>
  <si>
    <t>4/14/2024</t>
  </si>
  <si>
    <t>Tim Kang</t>
  </si>
  <si>
    <t>ORD-457</t>
  </si>
  <si>
    <t>15-Apr-2024</t>
  </si>
  <si>
    <t>Owain Yeoman</t>
  </si>
  <si>
    <t>Bend</t>
  </si>
  <si>
    <t>ORD-458</t>
  </si>
  <si>
    <t>4/16/2024</t>
  </si>
  <si>
    <t>Amanda Righetti</t>
  </si>
  <si>
    <t>ORD-459</t>
  </si>
  <si>
    <t>4/17/2024</t>
  </si>
  <si>
    <t>Emily Deschanel</t>
  </si>
  <si>
    <t>ORD-460</t>
  </si>
  <si>
    <t>2024-04-18</t>
  </si>
  <si>
    <t>Corvallis</t>
  </si>
  <si>
    <t>ORD-461</t>
  </si>
  <si>
    <t>19-04-2024</t>
  </si>
  <si>
    <t>Michaela Conlin</t>
  </si>
  <si>
    <t>ORD-462</t>
  </si>
  <si>
    <t>4/20/2024</t>
  </si>
  <si>
    <t>T.J. Thyne</t>
  </si>
  <si>
    <t>Tigard</t>
  </si>
  <si>
    <t>ORD-463</t>
  </si>
  <si>
    <t>4/21/2024</t>
  </si>
  <si>
    <t>Tamara Taylor</t>
  </si>
  <si>
    <t>Lake Oswego</t>
  </si>
  <si>
    <t>ORD-464</t>
  </si>
  <si>
    <t>22-Apr-2024</t>
  </si>
  <si>
    <t>John Francis Daley</t>
  </si>
  <si>
    <t>Keizer</t>
  </si>
  <si>
    <t>ORD-465</t>
  </si>
  <si>
    <t>4/23/2024</t>
  </si>
  <si>
    <t>Stana Katic</t>
  </si>
  <si>
    <t>Grants Pass</t>
  </si>
  <si>
    <t>ORD-466</t>
  </si>
  <si>
    <t>4/24/2024</t>
  </si>
  <si>
    <t>Nathan Fillion</t>
  </si>
  <si>
    <t>ORD-467</t>
  </si>
  <si>
    <t>2024-04-25</t>
  </si>
  <si>
    <t>Jon Huertas</t>
  </si>
  <si>
    <t>Oregon City</t>
  </si>
  <si>
    <t>ORD-468</t>
  </si>
  <si>
    <t>26-04-2024</t>
  </si>
  <si>
    <t>Seamus Dever</t>
  </si>
  <si>
    <t>McMinnville</t>
  </si>
  <si>
    <t>ORD-469</t>
  </si>
  <si>
    <t>4/27/2024</t>
  </si>
  <si>
    <t>Tamala Jones</t>
  </si>
  <si>
    <t>ORD-470</t>
  </si>
  <si>
    <t>28-Apr-2024</t>
  </si>
  <si>
    <t>Molly Quinn</t>
  </si>
  <si>
    <t>Tualatin</t>
  </si>
  <si>
    <t>ORD-471</t>
  </si>
  <si>
    <t>4/29/2024</t>
  </si>
  <si>
    <t>Susan Sullivan</t>
  </si>
  <si>
    <t>West Linn</t>
  </si>
  <si>
    <t>ORD-472</t>
  </si>
  <si>
    <t>2024-04-30</t>
  </si>
  <si>
    <t>Penny Johnson Jerald</t>
  </si>
  <si>
    <t>Woodburn</t>
  </si>
  <si>
    <t>ORD-473</t>
  </si>
  <si>
    <t>01-05-2024</t>
  </si>
  <si>
    <t>Mark Harmon</t>
  </si>
  <si>
    <t>Newberg</t>
  </si>
  <si>
    <t>ORD-474</t>
  </si>
  <si>
    <t>5/2/2024</t>
  </si>
  <si>
    <t>Michael Weatherly</t>
  </si>
  <si>
    <t>ORD-475</t>
  </si>
  <si>
    <t>3-May-2024</t>
  </si>
  <si>
    <t>Cote de Pablo</t>
  </si>
  <si>
    <t>Roseburg</t>
  </si>
  <si>
    <t>ORD-476</t>
  </si>
  <si>
    <t>5/4/2024</t>
  </si>
  <si>
    <t>Pauley Perrette</t>
  </si>
  <si>
    <t>Forest Grove</t>
  </si>
  <si>
    <t>ORD-477</t>
  </si>
  <si>
    <t>5/5/2024</t>
  </si>
  <si>
    <t xml:space="preserve"> Sean Murray </t>
  </si>
  <si>
    <t>Atlanta</t>
  </si>
  <si>
    <t>ORD-478</t>
  </si>
  <si>
    <t>2024-05-06</t>
  </si>
  <si>
    <t>david mccallum</t>
  </si>
  <si>
    <t>augusta</t>
  </si>
  <si>
    <t>ORD-479</t>
  </si>
  <si>
    <t>07-May-2024</t>
  </si>
  <si>
    <t>Brian Dietzen</t>
  </si>
  <si>
    <t>ORD-480</t>
  </si>
  <si>
    <t>5/8/2024</t>
  </si>
  <si>
    <t>rocky carroll</t>
  </si>
  <si>
    <t>ORD-481</t>
  </si>
  <si>
    <t>5/9/2024</t>
  </si>
  <si>
    <t>Emily Wickersham</t>
  </si>
  <si>
    <t>Macon</t>
  </si>
  <si>
    <t>ORD-482</t>
  </si>
  <si>
    <t>10-05-2024</t>
  </si>
  <si>
    <t>Wilmer Valderrama</t>
  </si>
  <si>
    <t>Savannah</t>
  </si>
  <si>
    <t>ORD-483</t>
  </si>
  <si>
    <t>5/11/2024</t>
  </si>
  <si>
    <t>Maria Bello</t>
  </si>
  <si>
    <t>Athens</t>
  </si>
  <si>
    <t>ORD-484</t>
  </si>
  <si>
    <t>5/12/2024</t>
  </si>
  <si>
    <t>Duane Henry</t>
  </si>
  <si>
    <t>ORD-485</t>
  </si>
  <si>
    <t>13-May-2024</t>
  </si>
  <si>
    <t>Diona Reasonover</t>
  </si>
  <si>
    <t>Sandy Springs</t>
  </si>
  <si>
    <t>ORD-486</t>
  </si>
  <si>
    <t>5/14/2024</t>
  </si>
  <si>
    <t>Katrina Law</t>
  </si>
  <si>
    <t>Roswell</t>
  </si>
  <si>
    <t>ORD-487</t>
  </si>
  <si>
    <t>5/15/2024</t>
  </si>
  <si>
    <t>Gary Cole</t>
  </si>
  <si>
    <t>Johns Creek</t>
  </si>
  <si>
    <t>ORD-488</t>
  </si>
  <si>
    <t>2024-05-16</t>
  </si>
  <si>
    <t>Warner Robins</t>
  </si>
  <si>
    <t>ORD-489</t>
  </si>
  <si>
    <t>17-05-2024</t>
  </si>
  <si>
    <t>Lucas Black</t>
  </si>
  <si>
    <t>ORD-490</t>
  </si>
  <si>
    <t>5/18/2024</t>
  </si>
  <si>
    <t>Zoe McLellan</t>
  </si>
  <si>
    <t>Alpharetta</t>
  </si>
  <si>
    <t>ORD-491</t>
  </si>
  <si>
    <t>5/19/2024</t>
  </si>
  <si>
    <t>Rob Kerkovich</t>
  </si>
  <si>
    <t>Marietta</t>
  </si>
  <si>
    <t>ORD-492</t>
  </si>
  <si>
    <t>20-May-2024</t>
  </si>
  <si>
    <t>CCH Pounder</t>
  </si>
  <si>
    <t>ORD-493</t>
  </si>
  <si>
    <t>5/21/2024</t>
  </si>
  <si>
    <t>Daryl Mitchell</t>
  </si>
  <si>
    <t>Valdosta</t>
  </si>
  <si>
    <t>ORD-494</t>
  </si>
  <si>
    <t>5/22/2024</t>
  </si>
  <si>
    <t>Shalita Grant</t>
  </si>
  <si>
    <t>ORD-495</t>
  </si>
  <si>
    <t>2024-05-23</t>
  </si>
  <si>
    <t>Vanessa Ferlito</t>
  </si>
  <si>
    <t>Dunwoody</t>
  </si>
  <si>
    <t>ORD-496</t>
  </si>
  <si>
    <t>24-05-2024</t>
  </si>
  <si>
    <t>Chris O'Donnell</t>
  </si>
  <si>
    <t>Rome</t>
  </si>
  <si>
    <t>ORD-497</t>
  </si>
  <si>
    <t>5/25/2024</t>
  </si>
  <si>
    <t>LL Cool J</t>
  </si>
  <si>
    <t>Peachtree Corners</t>
  </si>
  <si>
    <t>ORD-498</t>
  </si>
  <si>
    <t>26-May-2024</t>
  </si>
  <si>
    <t>Daniela Ruah</t>
  </si>
  <si>
    <t>Gainesville</t>
  </si>
  <si>
    <t>ORD-499</t>
  </si>
  <si>
    <t>5/27/2024</t>
  </si>
  <si>
    <t>Eric Christian Olsen</t>
  </si>
  <si>
    <t>East Point</t>
  </si>
  <si>
    <t>ORD-500</t>
  </si>
  <si>
    <t>2024-05-28</t>
  </si>
  <si>
    <t>Linda Hunt</t>
  </si>
  <si>
    <t>Newnan</t>
  </si>
  <si>
    <t>ORD-501</t>
  </si>
  <si>
    <t>29-05-2024</t>
  </si>
  <si>
    <t>Renée Felice Smith</t>
  </si>
  <si>
    <t>Dalton</t>
  </si>
  <si>
    <t>ORD-502</t>
  </si>
  <si>
    <t>5/30/2024</t>
  </si>
  <si>
    <t>Barrett Foa</t>
  </si>
  <si>
    <t>ORD-503</t>
  </si>
  <si>
    <t>31-May-2024</t>
  </si>
  <si>
    <t>Miguel Ferrer</t>
  </si>
  <si>
    <t>Hinesville</t>
  </si>
  <si>
    <t>ORD-504</t>
  </si>
  <si>
    <t>6/1/2024</t>
  </si>
  <si>
    <t>Nia Long</t>
  </si>
  <si>
    <t>Peachtree City</t>
  </si>
  <si>
    <t>order ID</t>
  </si>
  <si>
    <t>John Doe</t>
  </si>
  <si>
    <t>Jane Smith</t>
  </si>
  <si>
    <t>Alice Brown</t>
  </si>
  <si>
    <t>Brian Cox</t>
  </si>
  <si>
    <t>Cathy Dennis</t>
  </si>
  <si>
    <t>Emily Farr</t>
  </si>
  <si>
    <t>Frank Sinatra</t>
  </si>
  <si>
    <t>Grace Kelly</t>
  </si>
  <si>
    <t>Ingrid Bergman</t>
  </si>
  <si>
    <t>Steve Mcqueen</t>
  </si>
  <si>
    <t>Alan Rickman</t>
  </si>
  <si>
    <t>Maggie Smith</t>
  </si>
  <si>
    <t>Michael Gambon</t>
  </si>
  <si>
    <t>Helen Mccrory</t>
  </si>
  <si>
    <t>Meryl Streep</t>
  </si>
  <si>
    <t>Tom Hanks</t>
  </si>
  <si>
    <t>Leonardo Dicaprio</t>
  </si>
  <si>
    <t>Matthew Mcconaughey</t>
  </si>
  <si>
    <t>Anne Hathaway</t>
  </si>
  <si>
    <t>Jennifer Lawrence</t>
  </si>
  <si>
    <t>Daniel Craig</t>
  </si>
  <si>
    <t>Sean Connery</t>
  </si>
  <si>
    <t>Pierce Brosnan</t>
  </si>
  <si>
    <t>Maryam D'Abo</t>
  </si>
  <si>
    <t>Carrie Fisher</t>
  </si>
  <si>
    <t>Alec Guinness</t>
  </si>
  <si>
    <t>Ian Mcdiarmid</t>
  </si>
  <si>
    <t>Ewan Mcgregor</t>
  </si>
  <si>
    <t>Lupita Nyong'O</t>
  </si>
  <si>
    <t>Chris Pine</t>
  </si>
  <si>
    <t>Zachary Quinto</t>
  </si>
  <si>
    <t>Zoe Saldana</t>
  </si>
  <si>
    <t>Levar Burton</t>
  </si>
  <si>
    <t>Gates Mcfadden</t>
  </si>
  <si>
    <t>Terry Farrell</t>
  </si>
  <si>
    <t>Alexander Siddig</t>
  </si>
  <si>
    <t>Robert Duncan Mcneill</t>
  </si>
  <si>
    <t>Anson Mount</t>
  </si>
  <si>
    <t>Ethan Peck</t>
  </si>
  <si>
    <t>Jess Bush</t>
  </si>
  <si>
    <t>Richard Demanincor</t>
  </si>
  <si>
    <t>Mitch Pileggi</t>
  </si>
  <si>
    <t>William B. Davis</t>
  </si>
  <si>
    <t>Bruce Harwood</t>
  </si>
  <si>
    <t>Matt Leblanc</t>
  </si>
  <si>
    <t>Hugh Laurie</t>
  </si>
  <si>
    <t>Lisa Edelstein</t>
  </si>
  <si>
    <t>Robert Sean Leonard</t>
  </si>
  <si>
    <t>Kevin Mckidd</t>
  </si>
  <si>
    <t>Kelly Mccreary</t>
  </si>
  <si>
    <t>Andrew Lincoln</t>
  </si>
  <si>
    <t>Jon Bernthal</t>
  </si>
  <si>
    <t>Laurie Holden</t>
  </si>
  <si>
    <t>Jeffrey Demunn</t>
  </si>
  <si>
    <t>Melissa Mcbride</t>
  </si>
  <si>
    <t>Josh Mcdermitt</t>
  </si>
  <si>
    <t>Gabriel Macht</t>
  </si>
  <si>
    <t>Patrick J. Adams</t>
  </si>
  <si>
    <t>Meghan Markle</t>
  </si>
  <si>
    <t>Rj Mitte</t>
  </si>
  <si>
    <t>Matthew Fox</t>
  </si>
  <si>
    <t>Evangeline Lilly</t>
  </si>
  <si>
    <t>Josh Holloway</t>
  </si>
  <si>
    <t>Emilie De Ravin</t>
  </si>
  <si>
    <t>Rupaul Charles</t>
  </si>
  <si>
    <t>Cote De Pablo</t>
  </si>
  <si>
    <t>Sean Murray</t>
  </si>
  <si>
    <t>David Mccallum</t>
  </si>
  <si>
    <t>Rocky Carroll</t>
  </si>
  <si>
    <t>Zoe Mclellan</t>
  </si>
  <si>
    <t>Cch Pounder</t>
  </si>
  <si>
    <t>Ll Cool J</t>
  </si>
  <si>
    <t>Category</t>
  </si>
  <si>
    <t>Unknown</t>
  </si>
  <si>
    <t xml:space="preserve"> City</t>
  </si>
  <si>
    <t>Month_Year</t>
  </si>
  <si>
    <t>Profit_Margin</t>
  </si>
  <si>
    <t>Apr-23</t>
  </si>
  <si>
    <t>Dec-23</t>
  </si>
  <si>
    <t>Mar-23</t>
  </si>
  <si>
    <t>Grand Total</t>
  </si>
  <si>
    <t>Reporting Period</t>
  </si>
  <si>
    <t>Revenue</t>
  </si>
  <si>
    <t>Net Profit</t>
  </si>
  <si>
    <t>Product Segment</t>
  </si>
  <si>
    <t>Units Sold</t>
  </si>
  <si>
    <t>AVg Profit Margin</t>
  </si>
  <si>
    <t>Monthly Sales &amp; Profit Performance</t>
  </si>
  <si>
    <t>Revenue &amp; Profit by Product Category</t>
  </si>
  <si>
    <t>Profitability Analysis by Category</t>
  </si>
  <si>
    <t>Online vs Offline Sales Analysis</t>
  </si>
  <si>
    <t>Retail Sales &amp; MIS Performance Dashboard</t>
  </si>
  <si>
    <t>Avg Profit margin</t>
  </si>
  <si>
    <t>TOP CATEGORY</t>
  </si>
  <si>
    <t>Total revinue</t>
  </si>
  <si>
    <t>total Profit</t>
  </si>
  <si>
    <t>avg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</si>
</sst>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USD]\ #,##0"/>
    <numFmt numFmtId="165" formatCode="[$$-409]#,##0"/>
  </numFmts>
  <fonts count="7" x14ac:knownFonts="1">
    <font>
      <sz val="11"/>
      <color theme="1"/>
      <name val="Calibri"/>
      <family val="2"/>
      <scheme val="minor"/>
    </font>
    <font>
      <sz val="11"/>
      <color theme="1"/>
      <name val="Calibri"/>
      <family val="2"/>
      <scheme val="minor"/>
    </font>
    <font>
      <b/>
      <sz val="11"/>
      <color theme="1"/>
      <name val="Comic Sans MS"/>
      <family val="4"/>
    </font>
    <font>
      <sz val="20"/>
      <color theme="1"/>
      <name val="Comic Sans MS"/>
      <family val="4"/>
    </font>
    <font>
      <sz val="16"/>
      <color theme="1"/>
      <name val="Comic Sans MS"/>
      <family val="4"/>
    </font>
    <font>
      <sz val="11"/>
      <color theme="1"/>
      <name val="Comic Sans MS"/>
      <family val="4"/>
    </font>
    <font>
      <b/>
      <sz val="10"/>
      <color theme="1"/>
      <name val="Comic Sans MS"/>
      <family val="4"/>
    </font>
  </fonts>
  <fills count="7">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7">
    <xf numFmtId="0" fontId="0" fillId="0" borderId="0" xfId="0"/>
    <xf numFmtId="14" fontId="0" fillId="0" borderId="0" xfId="0" applyNumberFormat="1"/>
    <xf numFmtId="0" fontId="0" fillId="2" borderId="1" xfId="0" applyFill="1" applyBorder="1"/>
    <xf numFmtId="9" fontId="0" fillId="0" borderId="0" xfId="1" applyFont="1"/>
    <xf numFmtId="9" fontId="0" fillId="2" borderId="1" xfId="1" applyFont="1" applyFill="1" applyBorder="1"/>
    <xf numFmtId="0" fontId="0" fillId="0" borderId="0" xfId="0" pivotButton="1" applyAlignment="1">
      <alignment horizontal="center" vertical="center"/>
    </xf>
    <xf numFmtId="0" fontId="0" fillId="0" borderId="0" xfId="0"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164" fontId="0" fillId="0" borderId="0" xfId="0" applyNumberFormat="1" applyAlignment="1">
      <alignment horizontal="center" vertical="center"/>
    </xf>
    <xf numFmtId="0" fontId="0" fillId="4" borderId="1" xfId="0" applyFill="1" applyBorder="1" applyAlignment="1">
      <alignment horizontal="center" vertical="center"/>
    </xf>
    <xf numFmtId="164" fontId="0" fillId="4" borderId="1" xfId="0" applyNumberFormat="1" applyFill="1" applyBorder="1" applyAlignment="1">
      <alignment horizontal="center" vertical="center"/>
    </xf>
    <xf numFmtId="9" fontId="0" fillId="4" borderId="1" xfId="0" applyNumberFormat="1" applyFill="1" applyBorder="1" applyAlignment="1">
      <alignment horizontal="center" vertical="center"/>
    </xf>
    <xf numFmtId="9" fontId="0" fillId="0" borderId="0" xfId="0" applyNumberFormat="1" applyAlignment="1">
      <alignment horizontal="center" vertical="center"/>
    </xf>
    <xf numFmtId="0" fontId="3" fillId="5" borderId="0" xfId="0" applyFont="1" applyFill="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6" borderId="0" xfId="0" applyFill="1"/>
    <xf numFmtId="164" fontId="4" fillId="6" borderId="0" xfId="0" applyNumberFormat="1" applyFont="1" applyFill="1" applyAlignment="1">
      <alignment vertical="center"/>
    </xf>
    <xf numFmtId="0" fontId="2" fillId="0" borderId="1" xfId="0" applyFont="1" applyBorder="1" applyAlignment="1">
      <alignment horizontal="center" vertical="center"/>
    </xf>
    <xf numFmtId="0" fontId="0" fillId="0" borderId="1" xfId="0" applyBorder="1"/>
    <xf numFmtId="0" fontId="5" fillId="0" borderId="1" xfId="0" applyFont="1" applyBorder="1"/>
    <xf numFmtId="0" fontId="6" fillId="0" borderId="1" xfId="0" applyFont="1" applyBorder="1" applyAlignment="1">
      <alignment horizontal="center" vertical="center"/>
    </xf>
    <xf numFmtId="0" fontId="0" fillId="3" borderId="1" xfId="0" applyNumberFormat="1" applyFill="1" applyBorder="1" applyAlignment="1">
      <alignment horizontal="center" vertical="center"/>
    </xf>
    <xf numFmtId="0" fontId="0" fillId="0" borderId="0" xfId="0" applyNumberFormat="1" applyAlignment="1">
      <alignment horizontal="center" vertical="center"/>
    </xf>
    <xf numFmtId="165" fontId="0" fillId="0" borderId="0" xfId="2" applyNumberFormat="1" applyFont="1"/>
    <xf numFmtId="165" fontId="0" fillId="0" borderId="0" xfId="0" applyNumberFormat="1"/>
  </cellXfs>
  <cellStyles count="3">
    <cellStyle name="Currency" xfId="2" builtinId="4"/>
    <cellStyle name="Normal" xfId="0" builtinId="0"/>
    <cellStyle name="Percent" xfId="1" builtinId="5"/>
  </cellStyles>
  <dxfs count="2525">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USD]\ #,##0"/>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USD]\ #,##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fgColor indexed="64"/>
          <bgColor theme="4"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59999389629810485"/>
        </patternFill>
      </fill>
      <border diagonalUp="0" diagonalDown="0" outline="0">
        <left style="thin">
          <color indexed="64"/>
        </left>
        <right/>
        <top style="thin">
          <color indexed="64"/>
        </top>
        <bottom style="thin">
          <color indexed="64"/>
        </bottom>
      </border>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workbook Excel.xlsx]Calculations!PivotTable1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&amp; Profit Trend</a:t>
            </a:r>
            <a:endParaRPr lang="en-US"/>
          </a:p>
        </c:rich>
      </c:tx>
      <c:layout>
        <c:manualLayout>
          <c:xMode val="edge"/>
          <c:yMode val="edge"/>
          <c:x val="0.2732915573053368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Calculations!$B$3</c:f>
              <c:strCache>
                <c:ptCount val="1"/>
                <c:pt idx="0">
                  <c:v>Revenue</c:v>
                </c:pt>
              </c:strCache>
            </c:strRef>
          </c:tx>
          <c:spPr>
            <a:ln w="28575" cap="rnd">
              <a:solidFill>
                <a:schemeClr val="accent1"/>
              </a:solidFill>
              <a:round/>
            </a:ln>
            <a:effectLst/>
          </c:spPr>
          <c:marker>
            <c:symbol val="none"/>
          </c:marker>
          <c:cat>
            <c:strRef>
              <c:f>Calculations!$A$4:$A$7</c:f>
              <c:strCache>
                <c:ptCount val="3"/>
                <c:pt idx="0">
                  <c:v>Mar-23</c:v>
                </c:pt>
                <c:pt idx="1">
                  <c:v>Dec-23</c:v>
                </c:pt>
                <c:pt idx="2">
                  <c:v>Apr-23</c:v>
                </c:pt>
              </c:strCache>
            </c:strRef>
          </c:cat>
          <c:val>
            <c:numRef>
              <c:f>Calculations!$B$4:$B$7</c:f>
              <c:numCache>
                <c:formatCode>[$USD]\ #,##0</c:formatCode>
                <c:ptCount val="3"/>
                <c:pt idx="0">
                  <c:v>2000</c:v>
                </c:pt>
                <c:pt idx="1">
                  <c:v>1150</c:v>
                </c:pt>
                <c:pt idx="2">
                  <c:v>52</c:v>
                </c:pt>
              </c:numCache>
            </c:numRef>
          </c:val>
          <c:smooth val="0"/>
          <c:extLst>
            <c:ext xmlns:c16="http://schemas.microsoft.com/office/drawing/2014/chart" uri="{C3380CC4-5D6E-409C-BE32-E72D297353CC}">
              <c16:uniqueId val="{00000000-36BB-48B7-9CC7-DE4C845C60AF}"/>
            </c:ext>
          </c:extLst>
        </c:ser>
        <c:ser>
          <c:idx val="1"/>
          <c:order val="1"/>
          <c:tx>
            <c:strRef>
              <c:f>Calculations!$C$3</c:f>
              <c:strCache>
                <c:ptCount val="1"/>
                <c:pt idx="0">
                  <c:v>Net Profit</c:v>
                </c:pt>
              </c:strCache>
            </c:strRef>
          </c:tx>
          <c:spPr>
            <a:ln w="28575" cap="rnd">
              <a:solidFill>
                <a:schemeClr val="accent2"/>
              </a:solidFill>
              <a:round/>
            </a:ln>
            <a:effectLst/>
          </c:spPr>
          <c:marker>
            <c:symbol val="none"/>
          </c:marker>
          <c:cat>
            <c:strRef>
              <c:f>Calculations!$A$4:$A$7</c:f>
              <c:strCache>
                <c:ptCount val="3"/>
                <c:pt idx="0">
                  <c:v>Mar-23</c:v>
                </c:pt>
                <c:pt idx="1">
                  <c:v>Dec-23</c:v>
                </c:pt>
                <c:pt idx="2">
                  <c:v>Apr-23</c:v>
                </c:pt>
              </c:strCache>
            </c:strRef>
          </c:cat>
          <c:val>
            <c:numRef>
              <c:f>Calculations!$C$4:$C$7</c:f>
              <c:numCache>
                <c:formatCode>[$USD]\ #,##0</c:formatCode>
                <c:ptCount val="3"/>
                <c:pt idx="0">
                  <c:v>264</c:v>
                </c:pt>
                <c:pt idx="1">
                  <c:v>140</c:v>
                </c:pt>
                <c:pt idx="2">
                  <c:v>11</c:v>
                </c:pt>
              </c:numCache>
            </c:numRef>
          </c:val>
          <c:smooth val="0"/>
          <c:extLst>
            <c:ext xmlns:c16="http://schemas.microsoft.com/office/drawing/2014/chart" uri="{C3380CC4-5D6E-409C-BE32-E72D297353CC}">
              <c16:uniqueId val="{00000001-36BB-48B7-9CC7-DE4C845C60AF}"/>
            </c:ext>
          </c:extLst>
        </c:ser>
        <c:dLbls>
          <c:showLegendKey val="0"/>
          <c:showVal val="0"/>
          <c:showCatName val="0"/>
          <c:showSerName val="0"/>
          <c:showPercent val="0"/>
          <c:showBubbleSize val="0"/>
        </c:dLbls>
        <c:smooth val="0"/>
        <c:axId val="1792423888"/>
        <c:axId val="1792421968"/>
      </c:lineChart>
      <c:catAx>
        <c:axId val="1792423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21968"/>
        <c:crosses val="autoZero"/>
        <c:auto val="1"/>
        <c:lblAlgn val="ctr"/>
        <c:lblOffset val="100"/>
        <c:noMultiLvlLbl val="0"/>
      </c:catAx>
      <c:valAx>
        <c:axId val="1792421968"/>
        <c:scaling>
          <c:orientation val="minMax"/>
        </c:scaling>
        <c:delete val="0"/>
        <c:axPos val="l"/>
        <c:numFmt formatCode="[$USD]\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2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workbook Excel.xlsx]Calculations!PivotTable2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Performance by Product Category</a:t>
            </a:r>
            <a:endParaRPr lang="en-US"/>
          </a:p>
        </c:rich>
      </c:tx>
      <c:layout>
        <c:manualLayout>
          <c:xMode val="edge"/>
          <c:yMode val="edge"/>
          <c:x val="0.2906373031496062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2411973093527"/>
          <c:y val="0.25198540860358559"/>
          <c:w val="0.61402051306086736"/>
          <c:h val="0.6293157626130067"/>
        </c:manualLayout>
      </c:layout>
      <c:barChart>
        <c:barDir val="bar"/>
        <c:grouping val="clustered"/>
        <c:varyColors val="0"/>
        <c:ser>
          <c:idx val="0"/>
          <c:order val="0"/>
          <c:tx>
            <c:strRef>
              <c:f>Calculations!$G$3</c:f>
              <c:strCache>
                <c:ptCount val="1"/>
                <c:pt idx="0">
                  <c:v>Revenue</c:v>
                </c:pt>
              </c:strCache>
            </c:strRef>
          </c:tx>
          <c:spPr>
            <a:solidFill>
              <a:schemeClr val="accent1"/>
            </a:solidFill>
            <a:ln>
              <a:noFill/>
            </a:ln>
            <a:effectLst/>
          </c:spPr>
          <c:invertIfNegative val="0"/>
          <c:cat>
            <c:strRef>
              <c:f>Calculations!$F$4:$F$5</c:f>
              <c:strCache>
                <c:ptCount val="1"/>
                <c:pt idx="0">
                  <c:v>Electronics</c:v>
                </c:pt>
              </c:strCache>
            </c:strRef>
          </c:cat>
          <c:val>
            <c:numRef>
              <c:f>Calculations!$G$4:$G$5</c:f>
              <c:numCache>
                <c:formatCode>[$USD]\ #,##0</c:formatCode>
                <c:ptCount val="1"/>
                <c:pt idx="0">
                  <c:v>3202</c:v>
                </c:pt>
              </c:numCache>
            </c:numRef>
          </c:val>
          <c:extLst>
            <c:ext xmlns:c16="http://schemas.microsoft.com/office/drawing/2014/chart" uri="{C3380CC4-5D6E-409C-BE32-E72D297353CC}">
              <c16:uniqueId val="{00000000-A28A-4730-8B23-0D61A7AE6A6D}"/>
            </c:ext>
          </c:extLst>
        </c:ser>
        <c:ser>
          <c:idx val="1"/>
          <c:order val="1"/>
          <c:tx>
            <c:strRef>
              <c:f>Calculations!$H$3</c:f>
              <c:strCache>
                <c:ptCount val="1"/>
                <c:pt idx="0">
                  <c:v>Net Profit</c:v>
                </c:pt>
              </c:strCache>
            </c:strRef>
          </c:tx>
          <c:spPr>
            <a:solidFill>
              <a:schemeClr val="accent2"/>
            </a:solidFill>
            <a:ln>
              <a:noFill/>
            </a:ln>
            <a:effectLst/>
          </c:spPr>
          <c:invertIfNegative val="0"/>
          <c:cat>
            <c:strRef>
              <c:f>Calculations!$F$4:$F$5</c:f>
              <c:strCache>
                <c:ptCount val="1"/>
                <c:pt idx="0">
                  <c:v>Electronics</c:v>
                </c:pt>
              </c:strCache>
            </c:strRef>
          </c:cat>
          <c:val>
            <c:numRef>
              <c:f>Calculations!$H$4:$H$5</c:f>
              <c:numCache>
                <c:formatCode>[$USD]\ #,##0</c:formatCode>
                <c:ptCount val="1"/>
                <c:pt idx="0">
                  <c:v>415</c:v>
                </c:pt>
              </c:numCache>
            </c:numRef>
          </c:val>
          <c:extLst>
            <c:ext xmlns:c16="http://schemas.microsoft.com/office/drawing/2014/chart" uri="{C3380CC4-5D6E-409C-BE32-E72D297353CC}">
              <c16:uniqueId val="{00000001-A28A-4730-8B23-0D61A7AE6A6D}"/>
            </c:ext>
          </c:extLst>
        </c:ser>
        <c:dLbls>
          <c:showLegendKey val="0"/>
          <c:showVal val="0"/>
          <c:showCatName val="0"/>
          <c:showSerName val="0"/>
          <c:showPercent val="0"/>
          <c:showBubbleSize val="0"/>
        </c:dLbls>
        <c:gapWidth val="182"/>
        <c:axId val="1180371792"/>
        <c:axId val="1180373232"/>
      </c:barChart>
      <c:catAx>
        <c:axId val="1180371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373232"/>
        <c:crosses val="autoZero"/>
        <c:auto val="1"/>
        <c:lblAlgn val="ctr"/>
        <c:lblOffset val="100"/>
        <c:noMultiLvlLbl val="0"/>
      </c:catAx>
      <c:valAx>
        <c:axId val="1180373232"/>
        <c:scaling>
          <c:orientation val="minMax"/>
        </c:scaling>
        <c:delete val="0"/>
        <c:axPos val="b"/>
        <c:numFmt formatCode="[$USD]\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37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[Main project workbook Excel.xlsx]Calculations!PivotTable3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Volume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388888888888889"/>
              <c:y val="4.629629629629621E-2"/>
            </c:manualLayout>
          </c:layout>
          <c:showLegendKey val="0"/>
          <c:showVal val="1"/>
          <c:showCatName val="1"/>
          <c:showSerName val="0"/>
          <c:showPercent val="1"/>
          <c:showBubbleSize val="0"/>
          <c:extLst>
            <c:ext xmlns:c15="http://schemas.microsoft.com/office/drawing/2012/chart" uri="{CE6537A1-D6FC-4f65-9D91-7224C49458BB}"/>
          </c:extLst>
        </c:dLbl>
      </c:pivotFmt>
      <c:pivotFmt>
        <c:idx val="2"/>
        <c:dLbl>
          <c:idx val="0"/>
          <c:layout>
            <c:manualLayout>
              <c:x val="-0.12500000000000003"/>
              <c:y val="-7.407407407407415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3"/>
        <c:dLbl>
          <c:idx val="0"/>
          <c:showLegendKey val="0"/>
          <c:showVal val="1"/>
          <c:showCatName val="1"/>
          <c:showSerName val="0"/>
          <c:showPercent val="1"/>
          <c:showBubbleSize val="0"/>
          <c:extLst>
            <c:ext xmlns:c15="http://schemas.microsoft.com/office/drawing/2012/chart" uri="{CE6537A1-D6FC-4f65-9D91-7224C49458BB}"/>
          </c:extLst>
        </c:dLbl>
      </c:pivotFmt>
      <c:pivotFmt>
        <c:idx val="4"/>
        <c:dLbl>
          <c:idx val="0"/>
          <c:layout>
            <c:manualLayout>
              <c:x val="0.1388888888888889"/>
              <c:y val="4.629629629629621E-2"/>
            </c:manualLayout>
          </c:layout>
          <c:showLegendKey val="0"/>
          <c:showVal val="1"/>
          <c:showCatName val="1"/>
          <c:showSerName val="0"/>
          <c:showPercent val="1"/>
          <c:showBubbleSize val="0"/>
          <c:extLst>
            <c:ext xmlns:c15="http://schemas.microsoft.com/office/drawing/2012/chart" uri="{CE6537A1-D6FC-4f65-9D91-7224C49458BB}"/>
          </c:extLst>
        </c:dLbl>
      </c:pivotFmt>
      <c:pivotFmt>
        <c:idx val="5"/>
        <c:dLbl>
          <c:idx val="0"/>
          <c:layout>
            <c:manualLayout>
              <c:x val="-0.12500000000000003"/>
              <c:y val="-7.4074074074074153E-2"/>
            </c:manualLayout>
          </c:layou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dLbl>
          <c:idx val="0"/>
          <c:layout>
            <c:manualLayout>
              <c:x val="0.1388888888888889"/>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0.1250000000000000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Calculations!$L$3</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0CE4-4909-B908-5627EBEE5EEB}"/>
              </c:ext>
            </c:extLst>
          </c:dPt>
          <c:dPt>
            <c:idx val="1"/>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03-0CE4-4909-B908-5627EBEE5EEB}"/>
              </c:ext>
            </c:extLst>
          </c:dPt>
          <c:dLbls>
            <c:dLbl>
              <c:idx val="0"/>
              <c:layout>
                <c:manualLayout>
                  <c:x val="-0.12500000000000003"/>
                  <c:y val="-7.407407407407415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CE4-4909-B908-5627EBEE5E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Calculations!$K$4:$K$5</c:f>
              <c:strCache>
                <c:ptCount val="1"/>
                <c:pt idx="0">
                  <c:v>Online</c:v>
                </c:pt>
              </c:strCache>
            </c:strRef>
          </c:cat>
          <c:val>
            <c:numRef>
              <c:f>Calculations!$L$4:$L$5</c:f>
              <c:numCache>
                <c:formatCode>General</c:formatCode>
                <c:ptCount val="1"/>
                <c:pt idx="0">
                  <c:v>9</c:v>
                </c:pt>
              </c:numCache>
            </c:numRef>
          </c:val>
          <c:extLst>
            <c:ext xmlns:c16="http://schemas.microsoft.com/office/drawing/2014/chart" uri="{C3380CC4-5D6E-409C-BE32-E72D297353CC}">
              <c16:uniqueId val="{00000004-0CE4-4909-B908-5627EBEE5EE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workbook Excel.xlsx]Calculations!PivotTable4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Calculations!$G$12</c:f>
              <c:strCache>
                <c:ptCount val="1"/>
                <c:pt idx="0">
                  <c:v>Revenue</c:v>
                </c:pt>
              </c:strCache>
            </c:strRef>
          </c:tx>
          <c:spPr>
            <a:solidFill>
              <a:schemeClr val="accent1"/>
            </a:solidFill>
            <a:ln>
              <a:noFill/>
            </a:ln>
            <a:effectLst/>
          </c:spPr>
          <c:invertIfNegative val="0"/>
          <c:cat>
            <c:strRef>
              <c:f>Calculations!$F$13:$F$14</c:f>
              <c:strCache>
                <c:ptCount val="1"/>
                <c:pt idx="0">
                  <c:v>Electronics</c:v>
                </c:pt>
              </c:strCache>
            </c:strRef>
          </c:cat>
          <c:val>
            <c:numRef>
              <c:f>Calculations!$G$13:$G$14</c:f>
              <c:numCache>
                <c:formatCode>[$USD]\ #,##0</c:formatCode>
                <c:ptCount val="1"/>
                <c:pt idx="0">
                  <c:v>3202</c:v>
                </c:pt>
              </c:numCache>
            </c:numRef>
          </c:val>
          <c:extLst>
            <c:ext xmlns:c16="http://schemas.microsoft.com/office/drawing/2014/chart" uri="{C3380CC4-5D6E-409C-BE32-E72D297353CC}">
              <c16:uniqueId val="{00000000-270A-4A2B-9069-E5831252D930}"/>
            </c:ext>
          </c:extLst>
        </c:ser>
        <c:dLbls>
          <c:showLegendKey val="0"/>
          <c:showVal val="0"/>
          <c:showCatName val="0"/>
          <c:showSerName val="0"/>
          <c:showPercent val="0"/>
          <c:showBubbleSize val="0"/>
        </c:dLbls>
        <c:gapWidth val="219"/>
        <c:overlap val="-27"/>
        <c:axId val="1180350672"/>
        <c:axId val="1180347792"/>
      </c:barChart>
      <c:lineChart>
        <c:grouping val="standard"/>
        <c:varyColors val="0"/>
        <c:ser>
          <c:idx val="1"/>
          <c:order val="1"/>
          <c:tx>
            <c:strRef>
              <c:f>Calculations!$H$12</c:f>
              <c:strCache>
                <c:ptCount val="1"/>
                <c:pt idx="0">
                  <c:v>AVg Profit Margin</c:v>
                </c:pt>
              </c:strCache>
            </c:strRef>
          </c:tx>
          <c:spPr>
            <a:ln w="28575" cap="rnd">
              <a:solidFill>
                <a:schemeClr val="accent2"/>
              </a:solidFill>
              <a:round/>
            </a:ln>
            <a:effectLst/>
          </c:spPr>
          <c:marker>
            <c:symbol val="none"/>
          </c:marker>
          <c:cat>
            <c:strRef>
              <c:f>Calculations!$F$13:$F$14</c:f>
              <c:strCache>
                <c:ptCount val="1"/>
                <c:pt idx="0">
                  <c:v>Electronics</c:v>
                </c:pt>
              </c:strCache>
            </c:strRef>
          </c:cat>
          <c:val>
            <c:numRef>
              <c:f>Calculations!$H$13:$H$14</c:f>
              <c:numCache>
                <c:formatCode>0%</c:formatCode>
                <c:ptCount val="1"/>
                <c:pt idx="0">
                  <c:v>0.14360304346096928</c:v>
                </c:pt>
              </c:numCache>
            </c:numRef>
          </c:val>
          <c:smooth val="0"/>
          <c:extLst>
            <c:ext xmlns:c16="http://schemas.microsoft.com/office/drawing/2014/chart" uri="{C3380CC4-5D6E-409C-BE32-E72D297353CC}">
              <c16:uniqueId val="{00000001-270A-4A2B-9069-E5831252D930}"/>
            </c:ext>
          </c:extLst>
        </c:ser>
        <c:dLbls>
          <c:showLegendKey val="0"/>
          <c:showVal val="0"/>
          <c:showCatName val="0"/>
          <c:showSerName val="0"/>
          <c:showPercent val="0"/>
          <c:showBubbleSize val="0"/>
        </c:dLbls>
        <c:marker val="1"/>
        <c:smooth val="0"/>
        <c:axId val="1735771424"/>
        <c:axId val="1180342992"/>
      </c:lineChart>
      <c:catAx>
        <c:axId val="1180350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347792"/>
        <c:crosses val="autoZero"/>
        <c:auto val="1"/>
        <c:lblAlgn val="ctr"/>
        <c:lblOffset val="100"/>
        <c:noMultiLvlLbl val="0"/>
      </c:catAx>
      <c:valAx>
        <c:axId val="1180347792"/>
        <c:scaling>
          <c:orientation val="minMax"/>
        </c:scaling>
        <c:delete val="0"/>
        <c:axPos val="l"/>
        <c:numFmt formatCode="[$USD]\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350672"/>
        <c:crosses val="autoZero"/>
        <c:crossBetween val="between"/>
      </c:valAx>
      <c:valAx>
        <c:axId val="118034299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71424"/>
        <c:crosses val="max"/>
        <c:crossBetween val="between"/>
      </c:valAx>
      <c:catAx>
        <c:axId val="173577142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342992"/>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30480</xdr:colOff>
      <xdr:row>8</xdr:row>
      <xdr:rowOff>91440</xdr:rowOff>
    </xdr:from>
    <xdr:to>
      <xdr:col>13</xdr:col>
      <xdr:colOff>160020</xdr:colOff>
      <xdr:row>19</xdr:row>
      <xdr:rowOff>160020</xdr:rowOff>
    </xdr:to>
    <xdr:graphicFrame macro="">
      <xdr:nvGraphicFramePr>
        <xdr:cNvPr id="3" name="Chart 2">
          <a:extLst>
            <a:ext uri="{FF2B5EF4-FFF2-40B4-BE49-F238E27FC236}">
              <a16:creationId xmlns:a16="http://schemas.microsoft.com/office/drawing/2014/main" id="{D2C59889-7F17-48E4-B098-83C401A28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20</xdr:row>
      <xdr:rowOff>76200</xdr:rowOff>
    </xdr:from>
    <xdr:to>
      <xdr:col>13</xdr:col>
      <xdr:colOff>213360</xdr:colOff>
      <xdr:row>33</xdr:row>
      <xdr:rowOff>137160</xdr:rowOff>
    </xdr:to>
    <xdr:graphicFrame macro="">
      <xdr:nvGraphicFramePr>
        <xdr:cNvPr id="4" name="Chart 3">
          <a:extLst>
            <a:ext uri="{FF2B5EF4-FFF2-40B4-BE49-F238E27FC236}">
              <a16:creationId xmlns:a16="http://schemas.microsoft.com/office/drawing/2014/main" id="{F734E1F0-2BDC-4DF0-BDD2-465FB916D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419100</xdr:colOff>
      <xdr:row>8</xdr:row>
      <xdr:rowOff>91440</xdr:rowOff>
    </xdr:from>
    <xdr:to>
      <xdr:col>21</xdr:col>
      <xdr:colOff>457200</xdr:colOff>
      <xdr:row>20</xdr:row>
      <xdr:rowOff>0</xdr:rowOff>
    </xdr:to>
    <xdr:graphicFrame macro="">
      <xdr:nvGraphicFramePr>
        <xdr:cNvPr id="5" name="Chart 4">
          <a:extLst>
            <a:ext uri="{FF2B5EF4-FFF2-40B4-BE49-F238E27FC236}">
              <a16:creationId xmlns:a16="http://schemas.microsoft.com/office/drawing/2014/main" id="{50DEBD4E-23CE-47D5-B80C-CDA853F21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388620</xdr:colOff>
      <xdr:row>20</xdr:row>
      <xdr:rowOff>53340</xdr:rowOff>
    </xdr:from>
    <xdr:to>
      <xdr:col>21</xdr:col>
      <xdr:colOff>457200</xdr:colOff>
      <xdr:row>33</xdr:row>
      <xdr:rowOff>167640</xdr:rowOff>
    </xdr:to>
    <xdr:graphicFrame macro="">
      <xdr:nvGraphicFramePr>
        <xdr:cNvPr id="6" name="Chart 5">
          <a:extLst>
            <a:ext uri="{FF2B5EF4-FFF2-40B4-BE49-F238E27FC236}">
              <a16:creationId xmlns:a16="http://schemas.microsoft.com/office/drawing/2014/main" id="{E86352D8-F423-4003-834D-4E5737B79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xdr:colOff>
      <xdr:row>3</xdr:row>
      <xdr:rowOff>129540</xdr:rowOff>
    </xdr:from>
    <xdr:to>
      <xdr:col>5</xdr:col>
      <xdr:colOff>266700</xdr:colOff>
      <xdr:row>7</xdr:row>
      <xdr:rowOff>144780</xdr:rowOff>
    </xdr:to>
    <xdr:sp macro="" textlink="">
      <xdr:nvSpPr>
        <xdr:cNvPr id="2" name="Rectangle 1">
          <a:extLst>
            <a:ext uri="{FF2B5EF4-FFF2-40B4-BE49-F238E27FC236}">
              <a16:creationId xmlns:a16="http://schemas.microsoft.com/office/drawing/2014/main" id="{28F020AB-9BFE-2CA0-FCFC-55390EAA004B}"/>
            </a:ext>
          </a:extLst>
        </xdr:cNvPr>
        <xdr:cNvSpPr/>
      </xdr:nvSpPr>
      <xdr:spPr>
        <a:xfrm>
          <a:off x="632460" y="678180"/>
          <a:ext cx="2682240" cy="746760"/>
        </a:xfrm>
        <a:prstGeom prst="rect">
          <a:avLst/>
        </a:prstGeom>
        <a:ln>
          <a:solidFill>
            <a:schemeClr val="tx1">
              <a:lumMod val="50000"/>
              <a:lumOff val="50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US" sz="1400" b="1">
              <a:solidFill>
                <a:schemeClr val="bg1">
                  <a:lumMod val="95000"/>
                </a:schemeClr>
              </a:solidFill>
              <a:latin typeface="Comic Sans MS" panose="030F0702030302020204" pitchFamily="66" charset="0"/>
            </a:rPr>
            <a:t>Total Revenue</a:t>
          </a:r>
        </a:p>
      </xdr:txBody>
    </xdr:sp>
    <xdr:clientData/>
  </xdr:twoCellAnchor>
  <xdr:twoCellAnchor>
    <xdr:from>
      <xdr:col>6</xdr:col>
      <xdr:colOff>251460</xdr:colOff>
      <xdr:row>3</xdr:row>
      <xdr:rowOff>144780</xdr:rowOff>
    </xdr:from>
    <xdr:to>
      <xdr:col>10</xdr:col>
      <xdr:colOff>510540</xdr:colOff>
      <xdr:row>7</xdr:row>
      <xdr:rowOff>160020</xdr:rowOff>
    </xdr:to>
    <xdr:sp macro="" textlink="">
      <xdr:nvSpPr>
        <xdr:cNvPr id="10" name="Rectangle 9">
          <a:extLst>
            <a:ext uri="{FF2B5EF4-FFF2-40B4-BE49-F238E27FC236}">
              <a16:creationId xmlns:a16="http://schemas.microsoft.com/office/drawing/2014/main" id="{6824F4DA-31A6-4888-9C52-DC3DE91CD954}"/>
            </a:ext>
          </a:extLst>
        </xdr:cNvPr>
        <xdr:cNvSpPr/>
      </xdr:nvSpPr>
      <xdr:spPr>
        <a:xfrm>
          <a:off x="3909060" y="693420"/>
          <a:ext cx="2697480" cy="746760"/>
        </a:xfrm>
        <a:prstGeom prst="rect">
          <a:avLst/>
        </a:prstGeom>
        <a:ln>
          <a:solidFill>
            <a:schemeClr val="tx1">
              <a:lumMod val="50000"/>
              <a:lumOff val="50000"/>
            </a:schemeClr>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US" sz="1400" b="1">
              <a:solidFill>
                <a:schemeClr val="bg1">
                  <a:lumMod val="95000"/>
                </a:schemeClr>
              </a:solidFill>
              <a:latin typeface="Comic Sans MS" panose="030F0702030302020204" pitchFamily="66" charset="0"/>
            </a:rPr>
            <a:t>Total Profit</a:t>
          </a:r>
        </a:p>
      </xdr:txBody>
    </xdr:sp>
    <xdr:clientData/>
  </xdr:twoCellAnchor>
  <xdr:twoCellAnchor>
    <xdr:from>
      <xdr:col>11</xdr:col>
      <xdr:colOff>556260</xdr:colOff>
      <xdr:row>3</xdr:row>
      <xdr:rowOff>144780</xdr:rowOff>
    </xdr:from>
    <xdr:to>
      <xdr:col>16</xdr:col>
      <xdr:colOff>289560</xdr:colOff>
      <xdr:row>7</xdr:row>
      <xdr:rowOff>160020</xdr:rowOff>
    </xdr:to>
    <xdr:sp macro="" textlink="">
      <xdr:nvSpPr>
        <xdr:cNvPr id="11" name="Rectangle 10">
          <a:extLst>
            <a:ext uri="{FF2B5EF4-FFF2-40B4-BE49-F238E27FC236}">
              <a16:creationId xmlns:a16="http://schemas.microsoft.com/office/drawing/2014/main" id="{F7E73EE0-AE3E-4926-BFE1-425660292E66}"/>
            </a:ext>
          </a:extLst>
        </xdr:cNvPr>
        <xdr:cNvSpPr/>
      </xdr:nvSpPr>
      <xdr:spPr>
        <a:xfrm>
          <a:off x="7261860" y="693420"/>
          <a:ext cx="2781300" cy="746760"/>
        </a:xfrm>
        <a:prstGeom prst="rect">
          <a:avLst/>
        </a:prstGeom>
        <a:ln>
          <a:solidFill>
            <a:schemeClr val="tx1">
              <a:lumMod val="50000"/>
              <a:lumOff val="50000"/>
            </a:schemeClr>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US" sz="1200" b="1">
              <a:solidFill>
                <a:schemeClr val="bg1">
                  <a:lumMod val="95000"/>
                </a:schemeClr>
              </a:solidFill>
              <a:latin typeface="Comic Sans MS" panose="030F0702030302020204" pitchFamily="66" charset="0"/>
            </a:rPr>
            <a:t>Avg Profit Margin</a:t>
          </a:r>
        </a:p>
      </xdr:txBody>
    </xdr:sp>
    <xdr:clientData/>
  </xdr:twoCellAnchor>
  <xdr:twoCellAnchor>
    <xdr:from>
      <xdr:col>17</xdr:col>
      <xdr:colOff>335280</xdr:colOff>
      <xdr:row>3</xdr:row>
      <xdr:rowOff>167640</xdr:rowOff>
    </xdr:from>
    <xdr:to>
      <xdr:col>21</xdr:col>
      <xdr:colOff>495300</xdr:colOff>
      <xdr:row>8</xdr:row>
      <xdr:rowOff>0</xdr:rowOff>
    </xdr:to>
    <xdr:sp macro="" textlink="">
      <xdr:nvSpPr>
        <xdr:cNvPr id="12" name="Rectangle 11">
          <a:extLst>
            <a:ext uri="{FF2B5EF4-FFF2-40B4-BE49-F238E27FC236}">
              <a16:creationId xmlns:a16="http://schemas.microsoft.com/office/drawing/2014/main" id="{EF2E11C5-0421-4568-8464-80CB3882B7FF}"/>
            </a:ext>
          </a:extLst>
        </xdr:cNvPr>
        <xdr:cNvSpPr/>
      </xdr:nvSpPr>
      <xdr:spPr>
        <a:xfrm>
          <a:off x="10698480" y="716280"/>
          <a:ext cx="2598420" cy="746760"/>
        </a:xfrm>
        <a:prstGeom prst="rect">
          <a:avLst/>
        </a:prstGeom>
        <a:ln>
          <a:solidFill>
            <a:schemeClr val="tx1"/>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ctr"/>
          <a:r>
            <a:rPr lang="en-US" sz="1200" b="1">
              <a:latin typeface="Comic Sans MS" panose="030F0702030302020204" pitchFamily="66" charset="0"/>
            </a:rPr>
            <a:t>Top Category</a:t>
          </a:r>
        </a:p>
      </xdr:txBody>
    </xdr:sp>
    <xdr:clientData/>
  </xdr:twoCellAnchor>
  <xdr:twoCellAnchor>
    <xdr:from>
      <xdr:col>2</xdr:col>
      <xdr:colOff>0</xdr:colOff>
      <xdr:row>5</xdr:row>
      <xdr:rowOff>106680</xdr:rowOff>
    </xdr:from>
    <xdr:to>
      <xdr:col>4</xdr:col>
      <xdr:colOff>358140</xdr:colOff>
      <xdr:row>7</xdr:row>
      <xdr:rowOff>22860</xdr:rowOff>
    </xdr:to>
    <xdr:sp macro="" textlink="Calculations!G21">
      <xdr:nvSpPr>
        <xdr:cNvPr id="14" name="Rectangle 13">
          <a:extLst>
            <a:ext uri="{FF2B5EF4-FFF2-40B4-BE49-F238E27FC236}">
              <a16:creationId xmlns:a16="http://schemas.microsoft.com/office/drawing/2014/main" id="{6EF4898B-3224-6EAE-70A8-9D82BA996C0B}"/>
            </a:ext>
          </a:extLst>
        </xdr:cNvPr>
        <xdr:cNvSpPr/>
      </xdr:nvSpPr>
      <xdr:spPr>
        <a:xfrm>
          <a:off x="1219200" y="1021080"/>
          <a:ext cx="1577340" cy="2819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FAB4DDD-8BF8-4202-87A8-F789117ED4ED}" type="TxLink">
            <a:rPr lang="en-US" sz="1100" b="0" i="0" u="none" strike="noStrike">
              <a:solidFill>
                <a:srgbClr val="000000"/>
              </a:solidFill>
              <a:latin typeface="Calibri"/>
              <a:ea typeface="Calibri"/>
              <a:cs typeface="Calibri"/>
            </a:rPr>
            <a:t>$3,202</a:t>
          </a:fld>
          <a:endParaRPr lang="en-US" sz="1100">
            <a:latin typeface="Comic Sans MS" panose="030F0702030302020204" pitchFamily="66" charset="0"/>
          </a:endParaRPr>
        </a:p>
      </xdr:txBody>
    </xdr:sp>
    <xdr:clientData/>
  </xdr:twoCellAnchor>
  <xdr:twoCellAnchor>
    <xdr:from>
      <xdr:col>7</xdr:col>
      <xdr:colOff>274320</xdr:colOff>
      <xdr:row>5</xdr:row>
      <xdr:rowOff>121920</xdr:rowOff>
    </xdr:from>
    <xdr:to>
      <xdr:col>10</xdr:col>
      <xdr:colOff>22860</xdr:colOff>
      <xdr:row>7</xdr:row>
      <xdr:rowOff>38100</xdr:rowOff>
    </xdr:to>
    <xdr:sp macro="" textlink="Calculations!G22">
      <xdr:nvSpPr>
        <xdr:cNvPr id="15" name="Rectangle 14">
          <a:extLst>
            <a:ext uri="{FF2B5EF4-FFF2-40B4-BE49-F238E27FC236}">
              <a16:creationId xmlns:a16="http://schemas.microsoft.com/office/drawing/2014/main" id="{98031FF1-C0CC-4751-83B2-F0BDF2263AF9}"/>
            </a:ext>
          </a:extLst>
        </xdr:cNvPr>
        <xdr:cNvSpPr/>
      </xdr:nvSpPr>
      <xdr:spPr>
        <a:xfrm>
          <a:off x="4541520" y="1036320"/>
          <a:ext cx="1577340" cy="2819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F5E1DD-14A4-4BE8-8344-7BB14B0D5B6E}" type="TxLink">
            <a:rPr lang="en-US" sz="1100" b="0" i="0" u="none" strike="noStrike">
              <a:solidFill>
                <a:srgbClr val="000000"/>
              </a:solidFill>
              <a:latin typeface="Calibri"/>
              <a:ea typeface="Calibri"/>
              <a:cs typeface="Calibri"/>
            </a:rPr>
            <a:t>$415</a:t>
          </a:fld>
          <a:endParaRPr lang="en-US" sz="1100" b="0" i="0" u="none" strike="noStrike">
            <a:solidFill>
              <a:srgbClr val="000000"/>
            </a:solidFill>
            <a:latin typeface="Comic Sans MS" panose="030F0702030302020204" pitchFamily="66" charset="0"/>
            <a:ea typeface="Calibri"/>
            <a:cs typeface="Calibri"/>
          </a:endParaRPr>
        </a:p>
      </xdr:txBody>
    </xdr:sp>
    <xdr:clientData/>
  </xdr:twoCellAnchor>
  <xdr:twoCellAnchor>
    <xdr:from>
      <xdr:col>12</xdr:col>
      <xdr:colOff>563880</xdr:colOff>
      <xdr:row>5</xdr:row>
      <xdr:rowOff>121920</xdr:rowOff>
    </xdr:from>
    <xdr:to>
      <xdr:col>15</xdr:col>
      <xdr:colOff>312420</xdr:colOff>
      <xdr:row>7</xdr:row>
      <xdr:rowOff>38100</xdr:rowOff>
    </xdr:to>
    <xdr:sp macro="" textlink="Calculations!G23">
      <xdr:nvSpPr>
        <xdr:cNvPr id="16" name="Rectangle 15">
          <a:extLst>
            <a:ext uri="{FF2B5EF4-FFF2-40B4-BE49-F238E27FC236}">
              <a16:creationId xmlns:a16="http://schemas.microsoft.com/office/drawing/2014/main" id="{88A6C167-5870-477C-A81D-F3D158406D6E}"/>
            </a:ext>
          </a:extLst>
        </xdr:cNvPr>
        <xdr:cNvSpPr/>
      </xdr:nvSpPr>
      <xdr:spPr>
        <a:xfrm>
          <a:off x="7879080" y="1036320"/>
          <a:ext cx="1577340" cy="2819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FE63F6-09F0-4B2D-A48A-8DDF2744F38E}" type="TxLink">
            <a:rPr lang="en-US" sz="1100" b="0" i="0" u="none" strike="noStrike">
              <a:solidFill>
                <a:srgbClr val="000000"/>
              </a:solidFill>
              <a:latin typeface="Calibri"/>
              <a:ea typeface="Calibri"/>
              <a:cs typeface="Calibri"/>
            </a:rPr>
            <a:t>14%</a:t>
          </a:fld>
          <a:endParaRPr lang="en-US" sz="1100" b="0" i="0" u="none" strike="noStrike">
            <a:solidFill>
              <a:srgbClr val="000000"/>
            </a:solidFill>
            <a:latin typeface="Calibri"/>
            <a:ea typeface="Calibri"/>
            <a:cs typeface="Calibri"/>
          </a:endParaRPr>
        </a:p>
      </xdr:txBody>
    </xdr:sp>
    <xdr:clientData/>
  </xdr:twoCellAnchor>
  <xdr:twoCellAnchor>
    <xdr:from>
      <xdr:col>18</xdr:col>
      <xdr:colOff>281940</xdr:colOff>
      <xdr:row>5</xdr:row>
      <xdr:rowOff>121920</xdr:rowOff>
    </xdr:from>
    <xdr:to>
      <xdr:col>21</xdr:col>
      <xdr:colOff>30480</xdr:colOff>
      <xdr:row>7</xdr:row>
      <xdr:rowOff>38100</xdr:rowOff>
    </xdr:to>
    <xdr:sp macro="" textlink="Calculations!G20">
      <xdr:nvSpPr>
        <xdr:cNvPr id="17" name="Rectangle 16">
          <a:extLst>
            <a:ext uri="{FF2B5EF4-FFF2-40B4-BE49-F238E27FC236}">
              <a16:creationId xmlns:a16="http://schemas.microsoft.com/office/drawing/2014/main" id="{9A9C5A1A-21CA-4038-BA61-1B5320C590F1}"/>
            </a:ext>
          </a:extLst>
        </xdr:cNvPr>
        <xdr:cNvSpPr/>
      </xdr:nvSpPr>
      <xdr:spPr>
        <a:xfrm>
          <a:off x="11254740" y="1036320"/>
          <a:ext cx="1577340" cy="2819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4FD97A-C291-4F61-BBD6-AEA75B7D5B28}" type="TxLink">
            <a:rPr lang="en-US" sz="1100" b="0" i="0" u="none" strike="noStrike">
              <a:solidFill>
                <a:srgbClr val="000000"/>
              </a:solidFill>
              <a:latin typeface="Comic Sans MS"/>
              <a:ea typeface="Calibri"/>
              <a:cs typeface="Calibri"/>
            </a:rPr>
            <a:t>Electronics</a:t>
          </a:fld>
          <a:endParaRPr lang="en-US" sz="1100" b="0" i="0" u="none" strike="noStrike">
            <a:solidFill>
              <a:srgbClr val="000000"/>
            </a:solidFill>
            <a:latin typeface="Calibri"/>
            <a:ea typeface="Calibri"/>
            <a:cs typeface="Calibri"/>
          </a:endParaRPr>
        </a:p>
      </xdr:txBody>
    </xdr:sp>
    <xdr:clientData/>
  </xdr:twoCellAnchor>
  <xdr:twoCellAnchor editAs="oneCell">
    <xdr:from>
      <xdr:col>1</xdr:col>
      <xdr:colOff>38100</xdr:colOff>
      <xdr:row>8</xdr:row>
      <xdr:rowOff>114300</xdr:rowOff>
    </xdr:from>
    <xdr:to>
      <xdr:col>4</xdr:col>
      <xdr:colOff>518160</xdr:colOff>
      <xdr:row>20</xdr:row>
      <xdr:rowOff>167640</xdr:rowOff>
    </xdr:to>
    <mc:AlternateContent xmlns:mc="http://schemas.openxmlformats.org/markup-compatibility/2006">
      <mc:Choice xmlns:a14="http://schemas.microsoft.com/office/drawing/2010/main" Requires="a14">
        <xdr:graphicFrame macro="">
          <xdr:nvGraphicFramePr>
            <xdr:cNvPr id="18" name="State">
              <a:extLst>
                <a:ext uri="{FF2B5EF4-FFF2-40B4-BE49-F238E27FC236}">
                  <a16:creationId xmlns:a16="http://schemas.microsoft.com/office/drawing/2014/main" id="{4FC92E04-F850-4214-B8FF-8677FEB2F13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47700" y="1577340"/>
              <a:ext cx="2308860" cy="224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21</xdr:row>
      <xdr:rowOff>30480</xdr:rowOff>
    </xdr:from>
    <xdr:to>
      <xdr:col>4</xdr:col>
      <xdr:colOff>533400</xdr:colOff>
      <xdr:row>28</xdr:row>
      <xdr:rowOff>15240</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A41BBA82-B576-4BA4-85D5-F602931154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0080" y="3870960"/>
              <a:ext cx="233172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28</xdr:row>
      <xdr:rowOff>99061</xdr:rowOff>
    </xdr:from>
    <xdr:to>
      <xdr:col>4</xdr:col>
      <xdr:colOff>541020</xdr:colOff>
      <xdr:row>33</xdr:row>
      <xdr:rowOff>129540</xdr:rowOff>
    </xdr:to>
    <mc:AlternateContent xmlns:mc="http://schemas.openxmlformats.org/markup-compatibility/2006">
      <mc:Choice xmlns:a14="http://schemas.microsoft.com/office/drawing/2010/main" Requires="a14">
        <xdr:graphicFrame macro="">
          <xdr:nvGraphicFramePr>
            <xdr:cNvPr id="20" name="Sales Channel">
              <a:extLst>
                <a:ext uri="{FF2B5EF4-FFF2-40B4-BE49-F238E27FC236}">
                  <a16:creationId xmlns:a16="http://schemas.microsoft.com/office/drawing/2014/main" id="{CBB25B14-A347-42E4-A725-751B95F694A7}"/>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632460" y="5219701"/>
              <a:ext cx="2346960" cy="94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rna Jana" refreshedDate="46108.503487731483" createdVersion="8" refreshedVersion="8" minRefreshableVersion="3" recordCount="432" xr:uid="{4F037BB8-D599-4A57-B022-3894FAF8BBB3}">
  <cacheSource type="worksheet">
    <worksheetSource name="working_data_2"/>
  </cacheSource>
  <cacheFields count="14">
    <cacheField name="order ID" numFmtId="0">
      <sharedItems/>
    </cacheField>
    <cacheField name="Customer Name" numFmtId="0">
      <sharedItems/>
    </cacheField>
    <cacheField name=" City" numFmtId="0">
      <sharedItems/>
    </cacheField>
    <cacheField name="State" numFmtId="0">
      <sharedItems count="19">
        <s v="NY"/>
        <s v="CA"/>
        <s v="IL"/>
        <s v="TX"/>
        <s v="AZ"/>
        <s v="PA"/>
        <s v="FL"/>
        <s v="OH"/>
        <s v="NC"/>
        <s v="IN"/>
        <s v="WA"/>
        <s v="CO"/>
        <s v="MA"/>
        <s v="TN"/>
        <s v="MI"/>
        <s v="OR"/>
        <s v="KY"/>
        <s v="GA"/>
        <s v="DC"/>
      </sharedItems>
    </cacheField>
    <cacheField name="Category" numFmtId="0">
      <sharedItems count="3">
        <s v="Electronics"/>
        <s v="Clothing"/>
        <s v="Furniture"/>
      </sharedItems>
    </cacheField>
    <cacheField name="Product Name" numFmtId="0">
      <sharedItems/>
    </cacheField>
    <cacheField name="Sales Amount" numFmtId="0">
      <sharedItems containsSemiMixedTypes="0" containsString="0" containsNumber="1" containsInteger="1" minValue="15" maxValue="1330" count="221">
        <n v="1200"/>
        <n v="25"/>
        <n v="800"/>
        <n v="50"/>
        <n v="150"/>
        <n v="300"/>
        <n v="75"/>
        <n v="900"/>
        <n v="350"/>
        <n v="250"/>
        <n v="200"/>
        <n v="60"/>
        <n v="1000"/>
        <n v="600"/>
        <n v="30"/>
        <n v="80"/>
        <n v="15"/>
        <n v="40"/>
        <n v="20"/>
        <n v="1100"/>
        <n v="850"/>
        <n v="55"/>
        <n v="160"/>
        <n v="310"/>
        <n v="950"/>
        <n v="360"/>
        <n v="260"/>
        <n v="210"/>
        <n v="65"/>
        <n v="1050"/>
        <n v="650"/>
        <n v="35"/>
        <n v="85"/>
        <n v="18"/>
        <n v="45"/>
        <n v="22"/>
        <n v="28"/>
        <n v="1150"/>
        <n v="820"/>
        <n v="52"/>
        <n v="155"/>
        <n v="305"/>
        <n v="78"/>
        <n v="920"/>
        <n v="355"/>
        <n v="255"/>
        <n v="205"/>
        <n v="62"/>
        <n v="1020"/>
        <n v="620"/>
        <n v="32"/>
        <n v="82"/>
        <n v="16"/>
        <n v="42"/>
        <n v="21"/>
        <n v="26"/>
        <n v="1180"/>
        <n v="24"/>
        <n v="810"/>
        <n v="51"/>
        <n v="152"/>
        <n v="302"/>
        <n v="76"/>
        <n v="910"/>
        <n v="352"/>
        <n v="252"/>
        <n v="202"/>
        <n v="61"/>
        <n v="1010"/>
        <n v="610"/>
        <n v="31"/>
        <n v="81"/>
        <n v="41"/>
        <n v="1190"/>
        <n v="830"/>
        <n v="54"/>
        <n v="158"/>
        <n v="308"/>
        <n v="79"/>
        <n v="940"/>
        <n v="358"/>
        <n v="258"/>
        <n v="208"/>
        <n v="64"/>
        <n v="1040"/>
        <n v="640"/>
        <n v="34"/>
        <n v="84"/>
        <n v="17"/>
        <n v="44"/>
        <n v="29"/>
        <n v="1210"/>
        <n v="27"/>
        <n v="840"/>
        <n v="56"/>
        <n v="162"/>
        <n v="312"/>
        <n v="960"/>
        <n v="362"/>
        <n v="262"/>
        <n v="212"/>
        <n v="66"/>
        <n v="1060"/>
        <n v="660"/>
        <n v="36"/>
        <n v="86"/>
        <n v="19"/>
        <n v="46"/>
        <n v="1220"/>
        <n v="860"/>
        <n v="58"/>
        <n v="165"/>
        <n v="315"/>
        <n v="980"/>
        <n v="365"/>
        <n v="265"/>
        <n v="215"/>
        <n v="68"/>
        <n v="1080"/>
        <n v="680"/>
        <n v="38"/>
        <n v="88"/>
        <n v="48"/>
        <n v="33"/>
        <n v="1230"/>
        <n v="880"/>
        <n v="168"/>
        <n v="318"/>
        <n v="990"/>
        <n v="368"/>
        <n v="268"/>
        <n v="218"/>
        <n v="70"/>
        <n v="700"/>
        <n v="90"/>
        <n v="23"/>
        <n v="1240"/>
        <n v="170"/>
        <n v="320"/>
        <n v="370"/>
        <n v="270"/>
        <n v="220"/>
        <n v="72"/>
        <n v="1120"/>
        <n v="720"/>
        <n v="92"/>
        <n v="37"/>
        <n v="1250"/>
        <n v="172"/>
        <n v="322"/>
        <n v="372"/>
        <n v="272"/>
        <n v="222"/>
        <n v="74"/>
        <n v="1140"/>
        <n v="740"/>
        <n v="94"/>
        <n v="39"/>
        <n v="1260"/>
        <n v="174"/>
        <n v="324"/>
        <n v="374"/>
        <n v="274"/>
        <n v="224"/>
        <n v="1160"/>
        <n v="760"/>
        <n v="96"/>
        <n v="1270"/>
        <n v="176"/>
        <n v="326"/>
        <n v="376"/>
        <n v="276"/>
        <n v="226"/>
        <n v="780"/>
        <n v="98"/>
        <n v="43"/>
        <n v="1280"/>
        <n v="178"/>
        <n v="328"/>
        <n v="378"/>
        <n v="278"/>
        <n v="228"/>
        <n v="100"/>
        <n v="1290"/>
        <n v="180"/>
        <n v="330"/>
        <n v="380"/>
        <n v="280"/>
        <n v="230"/>
        <n v="102"/>
        <n v="47"/>
        <n v="1300"/>
        <n v="182"/>
        <n v="332"/>
        <n v="382"/>
        <n v="282"/>
        <n v="232"/>
        <n v="104"/>
        <n v="49"/>
        <n v="1310"/>
        <n v="184"/>
        <n v="334"/>
        <n v="384"/>
        <n v="284"/>
        <n v="234"/>
        <n v="106"/>
        <n v="1320"/>
        <n v="186"/>
        <n v="336"/>
        <n v="386"/>
        <n v="286"/>
        <n v="236"/>
        <n v="108"/>
        <n v="53"/>
        <n v="1330"/>
        <n v="188"/>
        <n v="338"/>
        <n v="388"/>
        <n v="288"/>
        <n v="238"/>
        <n v="110"/>
      </sharedItems>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2"/>
    </cacheField>
    <cacheField name="Profit" numFmtId="0">
      <sharedItems containsSemiMixedTypes="0" containsString="0" containsNumber="1" containsInteger="1" minValue="5" maxValue="188"/>
    </cacheField>
    <cacheField name="Sales Channel" numFmtId="0">
      <sharedItems count="2">
        <s v="Online"/>
        <s v="Offline"/>
      </sharedItems>
    </cacheField>
    <cacheField name="Date" numFmtId="14">
      <sharedItems containsNonDate="0" containsDate="1" containsString="0" containsBlank="1" minDate="2023-01-02T00:00:00" maxDate="2024-12-06T00:00:00"/>
    </cacheField>
    <cacheField name="Month_Year" numFmtId="0">
      <sharedItems count="25">
        <s v="Jan-23"/>
        <s v="Feb-23"/>
        <s v="Jun-23"/>
        <s v="Sep-23"/>
        <s v="Nov-23"/>
        <s v="Mar-23"/>
        <s v="Dec-23"/>
        <s v="Apr-23"/>
        <s v="Aug-23"/>
        <s v="May-23"/>
        <s v="Jul-23"/>
        <s v="Oct-23"/>
        <s v="Jan-00"/>
        <s v="Jan-24"/>
        <s v="Feb-24"/>
        <s v="Mar-24"/>
        <s v="Aug-24"/>
        <s v="Nov-24"/>
        <s v="May-24"/>
        <s v="Oct-24"/>
        <s v="Apr-24"/>
        <s v="Jul-24"/>
        <s v="Sep-24"/>
        <s v="Jun-24"/>
        <s v="Dec-24"/>
      </sharedItems>
    </cacheField>
    <cacheField name="Profit_Margin" numFmtId="9">
      <sharedItems containsSemiMixedTypes="0" containsString="0" containsNumber="1" minValue="9.0909090909090912E-2" maxValue="0.61538461538461542"/>
    </cacheField>
  </cacheFields>
  <extLst>
    <ext xmlns:x14="http://schemas.microsoft.com/office/spreadsheetml/2009/9/main" uri="{725AE2AE-9491-48be-B2B4-4EB974FC3084}">
      <x14:pivotCacheDefinition pivotCacheId="1374632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s v="ORD-001"/>
    <s v="John Doe"/>
    <s v="New York"/>
    <x v="0"/>
    <x v="0"/>
    <s v="Laptop"/>
    <x v="0"/>
    <n v="1"/>
    <n v="0.1"/>
    <n v="150"/>
    <x v="0"/>
    <d v="2023-01-15T00:00:00"/>
    <x v="0"/>
    <n v="0.125"/>
  </r>
  <r>
    <s v="ORD-002"/>
    <s v="Jane Smith"/>
    <s v="los angeles"/>
    <x v="1"/>
    <x v="1"/>
    <s v="T-Shirt"/>
    <x v="1"/>
    <n v="2"/>
    <n v="0"/>
    <n v="10"/>
    <x v="1"/>
    <d v="2023-01-16T00:00:00"/>
    <x v="0"/>
    <n v="0.4"/>
  </r>
  <r>
    <s v="ORD-004"/>
    <s v="Alice Brown"/>
    <s v="Chicago"/>
    <x v="2"/>
    <x v="0"/>
    <s v="Smartphone"/>
    <x v="2"/>
    <n v="1"/>
    <n v="0.05"/>
    <n v="100"/>
    <x v="0"/>
    <d v="2023-01-18T00:00:00"/>
    <x v="0"/>
    <n v="0.125"/>
  </r>
  <r>
    <s v="ORD-005"/>
    <s v="Charlie Davis"/>
    <s v="Houston"/>
    <x v="3"/>
    <x v="1"/>
    <s v="Jeans"/>
    <x v="3"/>
    <n v="3"/>
    <n v="0"/>
    <n v="15"/>
    <x v="1"/>
    <d v="2023-01-19T00:00:00"/>
    <x v="0"/>
    <n v="0.3"/>
  </r>
  <r>
    <s v="ORD-006"/>
    <s v="Eve White"/>
    <s v="Phoenix"/>
    <x v="4"/>
    <x v="2"/>
    <s v="Chair"/>
    <x v="4"/>
    <n v="4"/>
    <n v="0.1"/>
    <n v="20"/>
    <x v="1"/>
    <d v="2023-01-20T00:00:00"/>
    <x v="0"/>
    <n v="0.13333333333333333"/>
  </r>
  <r>
    <s v="ORD-007"/>
    <s v="Frank Green"/>
    <s v="Philadelphia"/>
    <x v="5"/>
    <x v="0"/>
    <s v="Tablet"/>
    <x v="5"/>
    <n v="2"/>
    <n v="0"/>
    <n v="40"/>
    <x v="0"/>
    <d v="2023-01-21T00:00:00"/>
    <x v="0"/>
    <n v="0.13333333333333333"/>
  </r>
  <r>
    <s v="ORD-008"/>
    <s v="Grace Lee"/>
    <s v="Unknown"/>
    <x v="1"/>
    <x v="1"/>
    <s v="Dress"/>
    <x v="6"/>
    <n v="1"/>
    <n v="0.2"/>
    <n v="15"/>
    <x v="1"/>
    <d v="2023-01-22T00:00:00"/>
    <x v="0"/>
    <n v="0.2"/>
  </r>
  <r>
    <s v="ORD-009"/>
    <s v="Henry Ford"/>
    <s v="San Antonio"/>
    <x v="3"/>
    <x v="2"/>
    <s v="Sofa"/>
    <x v="7"/>
    <n v="1"/>
    <n v="0.15"/>
    <n v="100"/>
    <x v="0"/>
    <d v="2023-01-23T00:00:00"/>
    <x v="0"/>
    <n v="0.1111111111111111"/>
  </r>
  <r>
    <s v="ORD-012"/>
    <s v="Karen Hall"/>
    <s v="San Jose"/>
    <x v="1"/>
    <x v="2"/>
    <s v="Table"/>
    <x v="8"/>
    <n v="1"/>
    <n v="0.1"/>
    <n v="40"/>
    <x v="1"/>
    <d v="2023-01-26T00:00:00"/>
    <x v="0"/>
    <n v="0.11428571428571428"/>
  </r>
  <r>
    <s v="ORD-013"/>
    <s v="Liam Young"/>
    <s v="Austin"/>
    <x v="3"/>
    <x v="0"/>
    <s v="Monitor"/>
    <x v="9"/>
    <n v="2"/>
    <n v="0.05"/>
    <n v="30"/>
    <x v="0"/>
    <d v="2023-01-27T00:00:00"/>
    <x v="0"/>
    <n v="0.12"/>
  </r>
  <r>
    <s v="ORD-014"/>
    <s v="Mia Wright"/>
    <s v="Jacksonville"/>
    <x v="6"/>
    <x v="1"/>
    <s v="Jacket"/>
    <x v="4"/>
    <n v="1"/>
    <n v="0"/>
    <n v="25"/>
    <x v="1"/>
    <d v="2023-01-28T00:00:00"/>
    <x v="0"/>
    <n v="0.16666666666666666"/>
  </r>
  <r>
    <s v="ORD-015"/>
    <s v="Noah Scott"/>
    <s v="Fort Worth"/>
    <x v="3"/>
    <x v="2"/>
    <s v="Bookshelf"/>
    <x v="10"/>
    <n v="1"/>
    <n v="0.1"/>
    <n v="20"/>
    <x v="0"/>
    <d v="2023-01-29T00:00:00"/>
    <x v="0"/>
    <n v="0.1"/>
  </r>
  <r>
    <s v="ORD-016"/>
    <s v="Olivia King"/>
    <s v="Columbus"/>
    <x v="7"/>
    <x v="0"/>
    <s v="Smartwatch"/>
    <x v="10"/>
    <n v="1"/>
    <n v="0"/>
    <n v="40"/>
    <x v="1"/>
    <d v="2023-01-30T00:00:00"/>
    <x v="0"/>
    <n v="0.2"/>
  </r>
  <r>
    <s v="ORD-017"/>
    <s v="Paul Baker"/>
    <s v="Charlotte"/>
    <x v="8"/>
    <x v="1"/>
    <s v="Sweater"/>
    <x v="11"/>
    <n v="2"/>
    <n v="0.1"/>
    <n v="10"/>
    <x v="0"/>
    <d v="2023-01-31T00:00:00"/>
    <x v="0"/>
    <n v="0.16666666666666666"/>
  </r>
  <r>
    <s v="ORD-018"/>
    <s v="Quinn Nelson"/>
    <s v="Unknown"/>
    <x v="9"/>
    <x v="2"/>
    <s v="Bed"/>
    <x v="12"/>
    <n v="1"/>
    <n v="0.2"/>
    <n v="150"/>
    <x v="1"/>
    <d v="2023-01-02T00:00:00"/>
    <x v="0"/>
    <n v="0.15"/>
  </r>
  <r>
    <s v="ORD-019"/>
    <s v="Rachel Carter"/>
    <s v="Seattle"/>
    <x v="10"/>
    <x v="0"/>
    <s v="Camera"/>
    <x v="13"/>
    <n v="1"/>
    <n v="0"/>
    <n v="80"/>
    <x v="0"/>
    <d v="2023-02-02T00:00:00"/>
    <x v="1"/>
    <n v="0.13333333333333333"/>
  </r>
  <r>
    <s v="ORD-020"/>
    <s v="Sam Perez"/>
    <s v="Denver"/>
    <x v="11"/>
    <x v="1"/>
    <s v="Shorts"/>
    <x v="14"/>
    <n v="3"/>
    <n v="0"/>
    <n v="5"/>
    <x v="1"/>
    <d v="2023-02-03T00:00:00"/>
    <x v="1"/>
    <n v="0.16666666666666666"/>
  </r>
  <r>
    <s v="ORD-022"/>
    <s v="Uma Thurman"/>
    <s v="Boston"/>
    <x v="12"/>
    <x v="0"/>
    <s v="Router"/>
    <x v="15"/>
    <n v="2"/>
    <n v="0.1"/>
    <n v="15"/>
    <x v="1"/>
    <d v="2023-02-05T00:00:00"/>
    <x v="1"/>
    <n v="0.1875"/>
  </r>
  <r>
    <s v="ORD-023"/>
    <s v="Victor Hugo"/>
    <s v="El Paso"/>
    <x v="3"/>
    <x v="1"/>
    <s v="Socks"/>
    <x v="16"/>
    <n v="5"/>
    <n v="0"/>
    <n v="5"/>
    <x v="0"/>
    <d v="2023-06-02T00:00:00"/>
    <x v="2"/>
    <n v="0.33333333333333331"/>
  </r>
  <r>
    <s v="ORD-024"/>
    <s v="Wendy Darling"/>
    <s v="Nashville"/>
    <x v="13"/>
    <x v="2"/>
    <s v="Stool"/>
    <x v="17"/>
    <n v="4"/>
    <n v="0"/>
    <n v="10"/>
    <x v="1"/>
    <d v="2023-02-07T00:00:00"/>
    <x v="1"/>
    <n v="0.25"/>
  </r>
  <r>
    <s v="ORD-025"/>
    <s v="Xavier Woods"/>
    <s v="Detroit"/>
    <x v="14"/>
    <x v="0"/>
    <s v="Keyboard"/>
    <x v="3"/>
    <n v="2"/>
    <n v="0"/>
    <n v="10"/>
    <x v="0"/>
    <d v="2023-02-08T00:00:00"/>
    <x v="1"/>
    <n v="0.2"/>
  </r>
  <r>
    <s v="ORD-026"/>
    <s v="Yara Shahidi"/>
    <s v="Unknown"/>
    <x v="15"/>
    <x v="1"/>
    <s v="Hat"/>
    <x v="18"/>
    <n v="1"/>
    <n v="0"/>
    <n v="5"/>
    <x v="1"/>
    <d v="2023-09-02T00:00:00"/>
    <x v="3"/>
    <n v="0.25"/>
  </r>
  <r>
    <s v="ORD-027"/>
    <s v="Zack Morris"/>
    <s v="Memphis"/>
    <x v="13"/>
    <x v="2"/>
    <s v="Lamp"/>
    <x v="11"/>
    <n v="2"/>
    <n v="0.1"/>
    <n v="10"/>
    <x v="0"/>
    <d v="2023-02-10T00:00:00"/>
    <x v="1"/>
    <n v="0.16666666666666666"/>
  </r>
  <r>
    <s v="ORD-028"/>
    <s v="Amy Adams"/>
    <s v="Louisville"/>
    <x v="16"/>
    <x v="0"/>
    <s v="Mouse"/>
    <x v="1"/>
    <n v="3"/>
    <n v="0"/>
    <n v="5"/>
    <x v="1"/>
    <d v="2023-11-02T00:00:00"/>
    <x v="4"/>
    <n v="0.2"/>
  </r>
  <r>
    <s v="ORD-029"/>
    <s v="Brian Cox"/>
    <s v="Portland"/>
    <x v="15"/>
    <x v="0"/>
    <s v="Laptop"/>
    <x v="19"/>
    <n v="1"/>
    <n v="0.05"/>
    <n v="100"/>
    <x v="0"/>
    <d v="2023-02-12T00:00:00"/>
    <x v="1"/>
    <n v="9.0909090909090912E-2"/>
  </r>
  <r>
    <s v="ORD-030"/>
    <s v="Cathy Dennis"/>
    <s v="atlanta"/>
    <x v="17"/>
    <x v="1"/>
    <s v="T-Shirt"/>
    <x v="18"/>
    <n v="2"/>
    <n v="0"/>
    <n v="5"/>
    <x v="1"/>
    <d v="2023-02-13T00:00:00"/>
    <x v="1"/>
    <n v="0.25"/>
  </r>
  <r>
    <s v="ORD-032"/>
    <s v="Emily Farr"/>
    <s v="Miami"/>
    <x v="6"/>
    <x v="0"/>
    <s v="Smartphone"/>
    <x v="20"/>
    <n v="1"/>
    <n v="0.05"/>
    <n v="110"/>
    <x v="0"/>
    <d v="2023-02-15T00:00:00"/>
    <x v="1"/>
    <n v="0.12941176470588237"/>
  </r>
  <r>
    <s v="ORD-033"/>
    <s v="George Harris"/>
    <s v="Tampa"/>
    <x v="6"/>
    <x v="1"/>
    <s v="Jeans"/>
    <x v="21"/>
    <n v="3"/>
    <n v="0"/>
    <n v="18"/>
    <x v="1"/>
    <d v="2023-02-16T00:00:00"/>
    <x v="1"/>
    <n v="0.32727272727272727"/>
  </r>
  <r>
    <s v="ORD-034"/>
    <s v="Hannah Irwin"/>
    <s v="Orlando"/>
    <x v="6"/>
    <x v="2"/>
    <s v="Chair"/>
    <x v="22"/>
    <n v="4"/>
    <n v="0.1"/>
    <n v="22"/>
    <x v="1"/>
    <d v="2023-02-17T00:00:00"/>
    <x v="1"/>
    <n v="0.13750000000000001"/>
  </r>
  <r>
    <s v="ORD-035"/>
    <s v="Ian Jones"/>
    <s v="St. Petersburg"/>
    <x v="6"/>
    <x v="0"/>
    <s v="Tablet"/>
    <x v="23"/>
    <n v="2"/>
    <n v="0"/>
    <n v="45"/>
    <x v="0"/>
    <d v="2023-02-18T00:00:00"/>
    <x v="1"/>
    <n v="0.14516129032258066"/>
  </r>
  <r>
    <s v="ORD-036"/>
    <s v="Julia Kent"/>
    <s v="Unknown"/>
    <x v="3"/>
    <x v="1"/>
    <s v="Dress"/>
    <x v="15"/>
    <n v="1"/>
    <n v="0.2"/>
    <n v="18"/>
    <x v="1"/>
    <d v="2023-02-19T00:00:00"/>
    <x v="1"/>
    <n v="0.22500000000000001"/>
  </r>
  <r>
    <s v="ORD-037"/>
    <s v="Kevin Lewis"/>
    <s v="Plano"/>
    <x v="3"/>
    <x v="2"/>
    <s v="Sofa"/>
    <x v="24"/>
    <n v="1"/>
    <n v="0.15"/>
    <n v="110"/>
    <x v="0"/>
    <d v="2023-02-20T00:00:00"/>
    <x v="1"/>
    <n v="0.11578947368421053"/>
  </r>
  <r>
    <s v="ORD-040"/>
    <s v="Nina Owens"/>
    <s v="Frisco"/>
    <x v="3"/>
    <x v="2"/>
    <s v="Table"/>
    <x v="25"/>
    <n v="1"/>
    <n v="0.1"/>
    <n v="45"/>
    <x v="1"/>
    <d v="2023-02-23T00:00:00"/>
    <x v="1"/>
    <n v="0.125"/>
  </r>
  <r>
    <s v="ORD-041"/>
    <s v="Oscar Perez"/>
    <s v="McKinney"/>
    <x v="3"/>
    <x v="0"/>
    <s v="Monitor"/>
    <x v="26"/>
    <n v="2"/>
    <n v="0.05"/>
    <n v="35"/>
    <x v="0"/>
    <d v="2023-02-24T00:00:00"/>
    <x v="1"/>
    <n v="0.13461538461538461"/>
  </r>
  <r>
    <s v="ORD-042"/>
    <s v="Paula Quinn"/>
    <s v="Grand Prairie"/>
    <x v="3"/>
    <x v="1"/>
    <s v="Jacket"/>
    <x v="22"/>
    <n v="1"/>
    <n v="0"/>
    <n v="30"/>
    <x v="1"/>
    <d v="2023-02-25T00:00:00"/>
    <x v="1"/>
    <n v="0.1875"/>
  </r>
  <r>
    <s v="ORD-043"/>
    <s v="Ray Romano"/>
    <s v="Brownsville"/>
    <x v="3"/>
    <x v="2"/>
    <s v="Bookshelf"/>
    <x v="27"/>
    <n v="1"/>
    <n v="0.1"/>
    <n v="25"/>
    <x v="0"/>
    <d v="2023-02-26T00:00:00"/>
    <x v="1"/>
    <n v="0.11904761904761904"/>
  </r>
  <r>
    <s v="ORD-044"/>
    <s v="Sarah Smith"/>
    <s v="Pasadena"/>
    <x v="3"/>
    <x v="0"/>
    <s v="Smartwatch"/>
    <x v="27"/>
    <n v="1"/>
    <n v="0"/>
    <n v="45"/>
    <x v="1"/>
    <d v="2023-02-27T00:00:00"/>
    <x v="1"/>
    <n v="0.21428571428571427"/>
  </r>
  <r>
    <s v="ORD-045"/>
    <s v="Tom Taylor"/>
    <s v="Mesquite"/>
    <x v="3"/>
    <x v="1"/>
    <s v="Sweater"/>
    <x v="28"/>
    <n v="2"/>
    <n v="0.1"/>
    <n v="12"/>
    <x v="0"/>
    <d v="2023-02-28T00:00:00"/>
    <x v="1"/>
    <n v="0.18461538461538463"/>
  </r>
  <r>
    <s v="ORD-046"/>
    <s v="Ursula Upton"/>
    <s v="Unknown"/>
    <x v="0"/>
    <x v="2"/>
    <s v="Bed"/>
    <x v="29"/>
    <n v="1"/>
    <n v="0.2"/>
    <n v="160"/>
    <x v="1"/>
    <d v="2023-01-03T00:00:00"/>
    <x v="0"/>
    <n v="0.15238095238095239"/>
  </r>
  <r>
    <s v="ORD-047"/>
    <s v="Victor Vance"/>
    <s v="Buffalo"/>
    <x v="0"/>
    <x v="0"/>
    <s v="Camera"/>
    <x v="30"/>
    <n v="1"/>
    <n v="0"/>
    <n v="90"/>
    <x v="0"/>
    <d v="2023-03-02T00:00:00"/>
    <x v="5"/>
    <n v="0.13846153846153847"/>
  </r>
  <r>
    <s v="ORD-048"/>
    <s v="Wendy White"/>
    <s v="Rochester"/>
    <x v="0"/>
    <x v="1"/>
    <s v="Shorts"/>
    <x v="31"/>
    <n v="3"/>
    <n v="0"/>
    <n v="8"/>
    <x v="1"/>
    <d v="2023-03-03T00:00:00"/>
    <x v="5"/>
    <n v="0.22857142857142856"/>
  </r>
  <r>
    <s v="ORD-050"/>
    <s v="Yolanda Young"/>
    <s v="Syracuse"/>
    <x v="0"/>
    <x v="0"/>
    <s v="Router"/>
    <x v="32"/>
    <n v="2"/>
    <n v="0.1"/>
    <n v="18"/>
    <x v="1"/>
    <d v="2023-03-05T00:00:00"/>
    <x v="5"/>
    <n v="0.21176470588235294"/>
  </r>
  <r>
    <s v="ORD-051"/>
    <s v="Zachary Zane"/>
    <s v="Albany"/>
    <x v="0"/>
    <x v="1"/>
    <s v="Socks"/>
    <x v="33"/>
    <n v="5"/>
    <n v="0"/>
    <n v="6"/>
    <x v="0"/>
    <d v="2023-06-03T00:00:00"/>
    <x v="2"/>
    <n v="0.33333333333333331"/>
  </r>
  <r>
    <s v="ORD-052"/>
    <s v="Alice Anderson"/>
    <s v="New Rochelle"/>
    <x v="0"/>
    <x v="2"/>
    <s v="Stool"/>
    <x v="34"/>
    <n v="4"/>
    <n v="0"/>
    <n v="12"/>
    <x v="1"/>
    <d v="2023-03-07T00:00:00"/>
    <x v="5"/>
    <n v="0.26666666666666666"/>
  </r>
  <r>
    <s v="ORD-053"/>
    <s v="Bob Barker"/>
    <s v="Mount Vernon"/>
    <x v="0"/>
    <x v="0"/>
    <s v="Keyboard"/>
    <x v="21"/>
    <n v="2"/>
    <n v="0"/>
    <n v="12"/>
    <x v="0"/>
    <d v="2023-03-08T00:00:00"/>
    <x v="5"/>
    <n v="0.21818181818181817"/>
  </r>
  <r>
    <s v="ORD-054"/>
    <s v="Charlie Chaplin"/>
    <s v="Unknown"/>
    <x v="0"/>
    <x v="1"/>
    <s v="Hat"/>
    <x v="35"/>
    <n v="1"/>
    <n v="0"/>
    <n v="6"/>
    <x v="1"/>
    <d v="2023-09-03T00:00:00"/>
    <x v="3"/>
    <n v="0.27272727272727271"/>
  </r>
  <r>
    <s v="ORD-055"/>
    <s v="David Duchovny"/>
    <s v="Schenectady"/>
    <x v="0"/>
    <x v="2"/>
    <s v="Lamp"/>
    <x v="28"/>
    <n v="2"/>
    <n v="0.1"/>
    <n v="12"/>
    <x v="0"/>
    <d v="2023-03-10T00:00:00"/>
    <x v="5"/>
    <n v="0.18461538461538463"/>
  </r>
  <r>
    <s v="ORD-056"/>
    <s v="Eve Ensler"/>
    <s v="Utica"/>
    <x v="0"/>
    <x v="0"/>
    <s v="Mouse"/>
    <x v="36"/>
    <n v="3"/>
    <n v="0"/>
    <n v="6"/>
    <x v="1"/>
    <d v="2023-11-03T00:00:00"/>
    <x v="4"/>
    <n v="0.21428571428571427"/>
  </r>
  <r>
    <s v="ORD-057"/>
    <s v="Frank Sinatra"/>
    <s v="Los Angeles"/>
    <x v="1"/>
    <x v="0"/>
    <s v="Laptop"/>
    <x v="37"/>
    <n v="1"/>
    <n v="0.1"/>
    <n v="140"/>
    <x v="0"/>
    <d v="2023-12-03T00:00:00"/>
    <x v="6"/>
    <n v="0.12173913043478261"/>
  </r>
  <r>
    <s v="ORD-058"/>
    <s v="Grace Kelly"/>
    <s v="san diego"/>
    <x v="1"/>
    <x v="1"/>
    <s v="T-Shirt"/>
    <x v="35"/>
    <n v="2"/>
    <n v="0"/>
    <n v="8"/>
    <x v="1"/>
    <d v="2023-03-13T00:00:00"/>
    <x v="5"/>
    <n v="0.36363636363636365"/>
  </r>
  <r>
    <s v="ORD-060"/>
    <s v="Ingrid Bergman"/>
    <s v="San Jose"/>
    <x v="1"/>
    <x v="0"/>
    <s v="Smartphone"/>
    <x v="38"/>
    <n v="1"/>
    <n v="0.05"/>
    <n v="105"/>
    <x v="0"/>
    <d v="2023-03-15T00:00:00"/>
    <x v="5"/>
    <n v="0.12804878048780488"/>
  </r>
  <r>
    <s v="ORD-061"/>
    <s v="James Dean"/>
    <s v="San Francisco"/>
    <x v="1"/>
    <x v="1"/>
    <s v="Jeans"/>
    <x v="39"/>
    <n v="3"/>
    <n v="0"/>
    <n v="16"/>
    <x v="1"/>
    <d v="2023-03-16T00:00:00"/>
    <x v="5"/>
    <n v="0.30769230769230771"/>
  </r>
  <r>
    <s v="ORD-062"/>
    <s v="Katharine Hepburn"/>
    <s v="Fresno"/>
    <x v="1"/>
    <x v="2"/>
    <s v="Chair"/>
    <x v="40"/>
    <n v="4"/>
    <n v="0.1"/>
    <n v="21"/>
    <x v="1"/>
    <d v="2023-03-17T00:00:00"/>
    <x v="5"/>
    <n v="0.13548387096774195"/>
  </r>
  <r>
    <s v="ORD-063"/>
    <s v="Marlon Brando"/>
    <s v="Sacramento"/>
    <x v="1"/>
    <x v="0"/>
    <s v="Tablet"/>
    <x v="41"/>
    <n v="2"/>
    <n v="0"/>
    <n v="42"/>
    <x v="0"/>
    <d v="2023-03-18T00:00:00"/>
    <x v="5"/>
    <n v="0.13770491803278689"/>
  </r>
  <r>
    <s v="ORD-064"/>
    <s v="Norma Jean"/>
    <s v="Unknown"/>
    <x v="1"/>
    <x v="1"/>
    <s v="Dress"/>
    <x v="42"/>
    <n v="1"/>
    <n v="0.2"/>
    <n v="16"/>
    <x v="1"/>
    <d v="2023-03-19T00:00:00"/>
    <x v="5"/>
    <n v="0.20512820512820512"/>
  </r>
  <r>
    <s v="ORD-065"/>
    <s v="Orson Welles"/>
    <s v="Long Beach"/>
    <x v="1"/>
    <x v="2"/>
    <s v="Sofa"/>
    <x v="43"/>
    <n v="1"/>
    <n v="0.15"/>
    <n v="105"/>
    <x v="0"/>
    <d v="2023-03-20T00:00:00"/>
    <x v="5"/>
    <n v="0.11413043478260869"/>
  </r>
  <r>
    <s v="ORD-068"/>
    <s v="Rita Hayworth"/>
    <s v="Anaheim"/>
    <x v="1"/>
    <x v="2"/>
    <s v="Table"/>
    <x v="44"/>
    <n v="1"/>
    <n v="0.1"/>
    <n v="42"/>
    <x v="1"/>
    <d v="2023-03-23T00:00:00"/>
    <x v="5"/>
    <n v="0.11830985915492957"/>
  </r>
  <r>
    <s v="ORD-069"/>
    <s v="Steve Mcqueen"/>
    <s v="Santa Ana"/>
    <x v="1"/>
    <x v="0"/>
    <s v="Monitor"/>
    <x v="45"/>
    <n v="2"/>
    <n v="0.05"/>
    <n v="32"/>
    <x v="0"/>
    <d v="2023-03-24T00:00:00"/>
    <x v="5"/>
    <n v="0.12549019607843137"/>
  </r>
  <r>
    <s v="ORD-070"/>
    <s v="Tony Curtis"/>
    <s v="Riverside"/>
    <x v="1"/>
    <x v="1"/>
    <s v="Jacket"/>
    <x v="40"/>
    <n v="1"/>
    <n v="0"/>
    <n v="28"/>
    <x v="1"/>
    <d v="2023-03-25T00:00:00"/>
    <x v="5"/>
    <n v="0.18064516129032257"/>
  </r>
  <r>
    <s v="ORD-071"/>
    <s v="Uma Thurman"/>
    <s v="Stockton"/>
    <x v="1"/>
    <x v="2"/>
    <s v="Bookshelf"/>
    <x v="46"/>
    <n v="1"/>
    <n v="0.1"/>
    <n v="22"/>
    <x v="0"/>
    <d v="2023-03-26T00:00:00"/>
    <x v="5"/>
    <n v="0.10731707317073171"/>
  </r>
  <r>
    <s v="ORD-072"/>
    <s v="Vivien Leigh"/>
    <s v="Chula Vista"/>
    <x v="1"/>
    <x v="0"/>
    <s v="Smartwatch"/>
    <x v="46"/>
    <n v="1"/>
    <n v="0"/>
    <n v="42"/>
    <x v="1"/>
    <d v="2023-03-27T00:00:00"/>
    <x v="5"/>
    <n v="0.20487804878048779"/>
  </r>
  <r>
    <s v="ORD-073"/>
    <s v="William Holden"/>
    <s v="Irvine"/>
    <x v="1"/>
    <x v="1"/>
    <s v="Sweater"/>
    <x v="47"/>
    <n v="2"/>
    <n v="0.1"/>
    <n v="11"/>
    <x v="0"/>
    <d v="2023-03-28T00:00:00"/>
    <x v="5"/>
    <n v="0.17741935483870969"/>
  </r>
  <r>
    <s v="ORD-074"/>
    <s v="Xena Warrior"/>
    <s v="Unknown"/>
    <x v="1"/>
    <x v="2"/>
    <s v="Bed"/>
    <x v="48"/>
    <n v="1"/>
    <n v="0.2"/>
    <n v="155"/>
    <x v="1"/>
    <d v="2023-03-29T00:00:00"/>
    <x v="5"/>
    <n v="0.15196078431372548"/>
  </r>
  <r>
    <s v="ORD-075"/>
    <s v="Yul Brynner"/>
    <s v="Fremont"/>
    <x v="1"/>
    <x v="0"/>
    <s v="Camera"/>
    <x v="49"/>
    <n v="1"/>
    <n v="0"/>
    <n v="85"/>
    <x v="0"/>
    <d v="2023-03-30T00:00:00"/>
    <x v="5"/>
    <n v="0.13709677419354838"/>
  </r>
  <r>
    <s v="ORD-076"/>
    <s v="Zsa Zsa Gabor"/>
    <s v="San Bernardino"/>
    <x v="1"/>
    <x v="1"/>
    <s v="Shorts"/>
    <x v="50"/>
    <n v="3"/>
    <n v="0"/>
    <n v="6"/>
    <x v="1"/>
    <d v="2023-03-31T00:00:00"/>
    <x v="5"/>
    <n v="0.1875"/>
  </r>
  <r>
    <s v="ORD-078"/>
    <s v="Burt Ward"/>
    <s v="Fontana"/>
    <x v="1"/>
    <x v="0"/>
    <s v="Router"/>
    <x v="51"/>
    <n v="2"/>
    <n v="0.1"/>
    <n v="16"/>
    <x v="1"/>
    <d v="2023-04-02T00:00:00"/>
    <x v="7"/>
    <n v="0.1951219512195122"/>
  </r>
  <r>
    <s v="ORD-079"/>
    <s v="Cesar Romero"/>
    <s v="Oxnard"/>
    <x v="1"/>
    <x v="1"/>
    <s v="Socks"/>
    <x v="52"/>
    <n v="5"/>
    <n v="0"/>
    <n v="5"/>
    <x v="0"/>
    <d v="2023-03-04T00:00:00"/>
    <x v="5"/>
    <n v="0.3125"/>
  </r>
  <r>
    <s v="ORD-080"/>
    <s v="Eartha Kitt"/>
    <s v="Moreno Valley"/>
    <x v="1"/>
    <x v="2"/>
    <s v="Stool"/>
    <x v="53"/>
    <n v="4"/>
    <n v="0"/>
    <n v="11"/>
    <x v="1"/>
    <d v="2023-04-04T00:00:00"/>
    <x v="7"/>
    <n v="0.26190476190476192"/>
  </r>
  <r>
    <s v="ORD-081"/>
    <s v="Frank Gorshin"/>
    <s v="Huntington Beach"/>
    <x v="1"/>
    <x v="0"/>
    <s v="Keyboard"/>
    <x v="39"/>
    <n v="2"/>
    <n v="0"/>
    <n v="11"/>
    <x v="0"/>
    <d v="2023-04-05T00:00:00"/>
    <x v="7"/>
    <n v="0.21153846153846154"/>
  </r>
  <r>
    <s v="ORD-082"/>
    <s v="Julie Newmar"/>
    <s v="Unknown"/>
    <x v="1"/>
    <x v="1"/>
    <s v="Hat"/>
    <x v="54"/>
    <n v="1"/>
    <n v="0"/>
    <n v="5"/>
    <x v="1"/>
    <d v="2023-06-04T00:00:00"/>
    <x v="2"/>
    <n v="0.23809523809523808"/>
  </r>
  <r>
    <s v="ORD-083"/>
    <s v="Lee Meriwether"/>
    <s v="Glendale"/>
    <x v="1"/>
    <x v="2"/>
    <s v="Lamp"/>
    <x v="47"/>
    <n v="2"/>
    <n v="0.1"/>
    <n v="11"/>
    <x v="0"/>
    <d v="2023-04-07T00:00:00"/>
    <x v="7"/>
    <n v="0.17741935483870969"/>
  </r>
  <r>
    <s v="ORD-084"/>
    <s v="Burgess Meredith"/>
    <s v="Santa Clarita"/>
    <x v="1"/>
    <x v="0"/>
    <s v="Mouse"/>
    <x v="55"/>
    <n v="3"/>
    <n v="0"/>
    <n v="5"/>
    <x v="1"/>
    <d v="2023-08-04T00:00:00"/>
    <x v="8"/>
    <n v="0.19230769230769232"/>
  </r>
  <r>
    <s v="ORD-085"/>
    <s v="Alan Rickman"/>
    <s v="Chicago"/>
    <x v="2"/>
    <x v="0"/>
    <s v="Laptop"/>
    <x v="56"/>
    <n v="1"/>
    <n v="0.1"/>
    <n v="145"/>
    <x v="0"/>
    <d v="2023-09-04T00:00:00"/>
    <x v="3"/>
    <n v="0.1228813559322034"/>
  </r>
  <r>
    <s v="ORD-086"/>
    <s v="Maggie Smith"/>
    <s v="aurora"/>
    <x v="2"/>
    <x v="1"/>
    <s v="T-Shirt"/>
    <x v="57"/>
    <n v="2"/>
    <n v="0"/>
    <n v="9"/>
    <x v="1"/>
    <d v="2023-04-10T00:00:00"/>
    <x v="7"/>
    <n v="0.375"/>
  </r>
  <r>
    <s v="ORD-088"/>
    <s v="Michael Gambon"/>
    <s v="Naperville"/>
    <x v="2"/>
    <x v="0"/>
    <s v="Smartphone"/>
    <x v="58"/>
    <n v="1"/>
    <n v="0.05"/>
    <n v="102"/>
    <x v="0"/>
    <d v="2023-12-04T00:00:00"/>
    <x v="6"/>
    <n v="0.12592592592592591"/>
  </r>
  <r>
    <s v="ORD-089"/>
    <s v="Robbie Coltrane"/>
    <s v="Joliet"/>
    <x v="2"/>
    <x v="1"/>
    <s v="Jeans"/>
    <x v="59"/>
    <n v="3"/>
    <n v="0"/>
    <n v="15"/>
    <x v="1"/>
    <d v="2023-04-13T00:00:00"/>
    <x v="7"/>
    <n v="0.29411764705882354"/>
  </r>
  <r>
    <s v="ORD-090"/>
    <s v="Fiona Shaw"/>
    <s v="Rockford"/>
    <x v="2"/>
    <x v="2"/>
    <s v="Chair"/>
    <x v="60"/>
    <n v="4"/>
    <n v="0.1"/>
    <n v="20"/>
    <x v="1"/>
    <d v="2023-04-14T00:00:00"/>
    <x v="7"/>
    <n v="0.13157894736842105"/>
  </r>
  <r>
    <s v="ORD-091"/>
    <s v="Emma Watson"/>
    <s v="Springfield"/>
    <x v="2"/>
    <x v="0"/>
    <s v="Tablet"/>
    <x v="61"/>
    <n v="2"/>
    <n v="0"/>
    <n v="41"/>
    <x v="0"/>
    <d v="2023-04-15T00:00:00"/>
    <x v="7"/>
    <n v="0.13576158940397351"/>
  </r>
  <r>
    <s v="ORD-092"/>
    <s v="Rupert Grint"/>
    <s v="Unknown"/>
    <x v="2"/>
    <x v="1"/>
    <s v="Dress"/>
    <x v="62"/>
    <n v="1"/>
    <n v="0.2"/>
    <n v="15"/>
    <x v="1"/>
    <d v="2023-04-16T00:00:00"/>
    <x v="7"/>
    <n v="0.19736842105263158"/>
  </r>
  <r>
    <s v="ORD-093"/>
    <s v="Daniel Radcliffe"/>
    <s v="Peoria"/>
    <x v="2"/>
    <x v="2"/>
    <s v="Sofa"/>
    <x v="63"/>
    <n v="1"/>
    <n v="0.15"/>
    <n v="102"/>
    <x v="0"/>
    <d v="2023-04-17T00:00:00"/>
    <x v="7"/>
    <n v="0.11208791208791209"/>
  </r>
  <r>
    <s v="ORD-096"/>
    <s v="Evanna Lynch"/>
    <s v="Cicero"/>
    <x v="2"/>
    <x v="2"/>
    <s v="Table"/>
    <x v="64"/>
    <n v="1"/>
    <n v="0.1"/>
    <n v="41"/>
    <x v="1"/>
    <d v="2023-04-20T00:00:00"/>
    <x v="7"/>
    <n v="0.11647727272727272"/>
  </r>
  <r>
    <s v="ORD-097"/>
    <s v="Bonnie Wright"/>
    <s v="Champaign"/>
    <x v="2"/>
    <x v="0"/>
    <s v="Monitor"/>
    <x v="65"/>
    <n v="2"/>
    <n v="0.05"/>
    <n v="31"/>
    <x v="0"/>
    <d v="2023-04-21T00:00:00"/>
    <x v="7"/>
    <n v="0.12301587301587301"/>
  </r>
  <r>
    <s v="ORD-098"/>
    <s v="James Phelps"/>
    <s v="Bloomington"/>
    <x v="2"/>
    <x v="1"/>
    <s v="Jacket"/>
    <x v="60"/>
    <n v="1"/>
    <n v="0"/>
    <n v="26"/>
    <x v="1"/>
    <d v="2023-04-22T00:00:00"/>
    <x v="7"/>
    <n v="0.17105263157894737"/>
  </r>
  <r>
    <s v="ORD-099"/>
    <s v="Oliver Phelps"/>
    <s v="Arlington Heights"/>
    <x v="2"/>
    <x v="2"/>
    <s v="Bookshelf"/>
    <x v="66"/>
    <n v="1"/>
    <n v="0.1"/>
    <n v="21"/>
    <x v="0"/>
    <d v="2023-04-23T00:00:00"/>
    <x v="7"/>
    <n v="0.10396039603960396"/>
  </r>
  <r>
    <s v="ORD-100"/>
    <s v="Mark Williams"/>
    <s v="Evanston"/>
    <x v="2"/>
    <x v="0"/>
    <s v="Smartwatch"/>
    <x v="66"/>
    <n v="1"/>
    <n v="0"/>
    <n v="41"/>
    <x v="1"/>
    <d v="2023-04-24T00:00:00"/>
    <x v="7"/>
    <n v="0.20297029702970298"/>
  </r>
  <r>
    <s v="ORD-101"/>
    <s v="Julie Walters"/>
    <s v="Decatur"/>
    <x v="2"/>
    <x v="1"/>
    <s v="Sweater"/>
    <x v="67"/>
    <n v="2"/>
    <n v="0.1"/>
    <n v="10"/>
    <x v="0"/>
    <d v="2023-04-25T00:00:00"/>
    <x v="7"/>
    <n v="0.16393442622950818"/>
  </r>
  <r>
    <s v="ORD-102"/>
    <s v="Jason Isaacs"/>
    <s v="Unknown"/>
    <x v="2"/>
    <x v="2"/>
    <s v="Bed"/>
    <x v="68"/>
    <n v="1"/>
    <n v="0.2"/>
    <n v="152"/>
    <x v="1"/>
    <d v="2023-04-26T00:00:00"/>
    <x v="7"/>
    <n v="0.15049504950495049"/>
  </r>
  <r>
    <s v="ORD-103"/>
    <s v="Helen Mccrory"/>
    <s v="Oak Lawn"/>
    <x v="2"/>
    <x v="0"/>
    <s v="Camera"/>
    <x v="69"/>
    <n v="1"/>
    <n v="0"/>
    <n v="82"/>
    <x v="0"/>
    <d v="2023-04-27T00:00:00"/>
    <x v="7"/>
    <n v="0.13442622950819672"/>
  </r>
  <r>
    <s v="ORD-104"/>
    <s v="Gary Oldman"/>
    <s v="Berwyn"/>
    <x v="2"/>
    <x v="1"/>
    <s v="Shorts"/>
    <x v="70"/>
    <n v="3"/>
    <n v="0"/>
    <n v="5"/>
    <x v="1"/>
    <d v="2023-04-28T00:00:00"/>
    <x v="7"/>
    <n v="0.16129032258064516"/>
  </r>
  <r>
    <s v="ORD-106"/>
    <s v="Timothy Spall"/>
    <s v="Wheaton"/>
    <x v="2"/>
    <x v="0"/>
    <s v="Router"/>
    <x v="71"/>
    <n v="2"/>
    <n v="0.1"/>
    <n v="15"/>
    <x v="1"/>
    <d v="2023-04-30T00:00:00"/>
    <x v="7"/>
    <n v="0.18518518518518517"/>
  </r>
  <r>
    <s v="ORD-107"/>
    <s v="Natalia Tena"/>
    <s v="Normal"/>
    <x v="2"/>
    <x v="1"/>
    <s v="Socks"/>
    <x v="16"/>
    <n v="5"/>
    <n v="0"/>
    <n v="5"/>
    <x v="0"/>
    <d v="2023-01-05T00:00:00"/>
    <x v="0"/>
    <n v="0.33333333333333331"/>
  </r>
  <r>
    <s v="ORD-108"/>
    <s v="David Bradley"/>
    <s v="Hoffman Estates"/>
    <x v="2"/>
    <x v="2"/>
    <s v="Stool"/>
    <x v="72"/>
    <n v="4"/>
    <n v="0"/>
    <n v="10"/>
    <x v="1"/>
    <d v="2023-05-02T00:00:00"/>
    <x v="9"/>
    <n v="0.24390243902439024"/>
  </r>
  <r>
    <s v="ORD-109"/>
    <s v="Warwick Davis"/>
    <s v="Oak Park"/>
    <x v="2"/>
    <x v="0"/>
    <s v="Keyboard"/>
    <x v="59"/>
    <n v="2"/>
    <n v="0"/>
    <n v="10"/>
    <x v="0"/>
    <d v="2023-05-03T00:00:00"/>
    <x v="9"/>
    <n v="0.19607843137254902"/>
  </r>
  <r>
    <s v="ORD-110"/>
    <s v="John Hurt"/>
    <s v="Unknown"/>
    <x v="2"/>
    <x v="1"/>
    <s v="Hat"/>
    <x v="18"/>
    <n v="1"/>
    <n v="0"/>
    <n v="5"/>
    <x v="1"/>
    <d v="2023-04-05T00:00:00"/>
    <x v="7"/>
    <n v="0.25"/>
  </r>
  <r>
    <s v="ORD-111"/>
    <s v="Richard Griffiths"/>
    <s v="Downers Grove"/>
    <x v="2"/>
    <x v="2"/>
    <s v="Lamp"/>
    <x v="67"/>
    <n v="2"/>
    <n v="0.1"/>
    <n v="10"/>
    <x v="0"/>
    <d v="2023-05-05T00:00:00"/>
    <x v="9"/>
    <n v="0.16393442622950818"/>
  </r>
  <r>
    <s v="ORD-112"/>
    <s v="Ian Hart"/>
    <s v="Glenview"/>
    <x v="2"/>
    <x v="0"/>
    <s v="Mouse"/>
    <x v="1"/>
    <n v="3"/>
    <n v="0"/>
    <n v="5"/>
    <x v="1"/>
    <d v="2023-06-05T00:00:00"/>
    <x v="2"/>
    <n v="0.2"/>
  </r>
  <r>
    <s v="ORD-113"/>
    <s v="Meryl Streep"/>
    <s v="Houston"/>
    <x v="3"/>
    <x v="0"/>
    <s v="Laptop"/>
    <x v="73"/>
    <n v="1"/>
    <n v="0.1"/>
    <n v="148"/>
    <x v="0"/>
    <d v="2023-07-05T00:00:00"/>
    <x v="10"/>
    <n v="0.12436974789915967"/>
  </r>
  <r>
    <s v="ORD-114"/>
    <s v="Tom Hanks"/>
    <s v="san antonio"/>
    <x v="3"/>
    <x v="1"/>
    <s v="T-Shirt"/>
    <x v="55"/>
    <n v="2"/>
    <n v="0"/>
    <n v="11"/>
    <x v="1"/>
    <d v="2023-05-08T00:00:00"/>
    <x v="9"/>
    <n v="0.42307692307692307"/>
  </r>
  <r>
    <s v="ORD-116"/>
    <s v="Leonardo Dicaprio"/>
    <s v="Dallas"/>
    <x v="3"/>
    <x v="0"/>
    <s v="Smartphone"/>
    <x v="74"/>
    <n v="1"/>
    <n v="0.05"/>
    <n v="108"/>
    <x v="0"/>
    <d v="2023-10-05T00:00:00"/>
    <x v="11"/>
    <n v="0.13012048192771083"/>
  </r>
  <r>
    <s v="ORD-117"/>
    <s v="Brad Pitt"/>
    <s v="Austin"/>
    <x v="3"/>
    <x v="1"/>
    <s v="Jeans"/>
    <x v="75"/>
    <n v="3"/>
    <n v="0"/>
    <n v="17"/>
    <x v="1"/>
    <d v="2023-11-05T00:00:00"/>
    <x v="4"/>
    <n v="0.31481481481481483"/>
  </r>
  <r>
    <s v="ORD-118"/>
    <s v="Johnny Depp"/>
    <s v="Fort Worth"/>
    <x v="3"/>
    <x v="2"/>
    <s v="Chair"/>
    <x v="76"/>
    <n v="4"/>
    <n v="0.1"/>
    <n v="23"/>
    <x v="1"/>
    <d v="2023-05-12T00:00:00"/>
    <x v="9"/>
    <n v="0.14556962025316456"/>
  </r>
  <r>
    <s v="ORD-119"/>
    <s v="Robert De Niro"/>
    <s v="El Paso"/>
    <x v="3"/>
    <x v="0"/>
    <s v="Tablet"/>
    <x v="77"/>
    <n v="2"/>
    <n v="0"/>
    <n v="44"/>
    <x v="0"/>
    <d v="2023-05-13T00:00:00"/>
    <x v="9"/>
    <n v="0.14285714285714285"/>
  </r>
  <r>
    <s v="ORD-120"/>
    <s v="Al Pacino"/>
    <s v="Unknown"/>
    <x v="3"/>
    <x v="1"/>
    <s v="Dress"/>
    <x v="78"/>
    <n v="1"/>
    <n v="0.2"/>
    <n v="17"/>
    <x v="1"/>
    <d v="2023-05-14T00:00:00"/>
    <x v="9"/>
    <n v="0.21518987341772153"/>
  </r>
  <r>
    <s v="ORD-121"/>
    <s v="Jack Nicholson"/>
    <s v="Arlington"/>
    <x v="3"/>
    <x v="2"/>
    <s v="Sofa"/>
    <x v="79"/>
    <n v="1"/>
    <n v="0.15"/>
    <n v="108"/>
    <x v="0"/>
    <d v="2023-05-15T00:00:00"/>
    <x v="9"/>
    <n v="0.1148936170212766"/>
  </r>
  <r>
    <s v="ORD-124"/>
    <s v="Dustin Hoffman"/>
    <s v="Laredo"/>
    <x v="3"/>
    <x v="2"/>
    <s v="Table"/>
    <x v="80"/>
    <n v="1"/>
    <n v="0.1"/>
    <n v="44"/>
    <x v="1"/>
    <d v="2023-05-18T00:00:00"/>
    <x v="9"/>
    <n v="0.12290502793296089"/>
  </r>
  <r>
    <s v="ORD-125"/>
    <s v="Tom Cruise"/>
    <s v="Lubbock"/>
    <x v="3"/>
    <x v="0"/>
    <s v="Monitor"/>
    <x v="81"/>
    <n v="2"/>
    <n v="0.05"/>
    <n v="34"/>
    <x v="0"/>
    <d v="2023-05-19T00:00:00"/>
    <x v="9"/>
    <n v="0.13178294573643412"/>
  </r>
  <r>
    <s v="ORD-126"/>
    <s v="Harrison Ford"/>
    <s v="Garland"/>
    <x v="3"/>
    <x v="1"/>
    <s v="Jacket"/>
    <x v="76"/>
    <n v="1"/>
    <n v="0"/>
    <n v="29"/>
    <x v="1"/>
    <d v="2023-05-20T00:00:00"/>
    <x v="9"/>
    <n v="0.18354430379746836"/>
  </r>
  <r>
    <s v="ORD-127"/>
    <s v="Samuel L. Jackson"/>
    <s v="Irving"/>
    <x v="3"/>
    <x v="2"/>
    <s v="Bookshelf"/>
    <x v="82"/>
    <n v="1"/>
    <n v="0.1"/>
    <n v="24"/>
    <x v="0"/>
    <d v="2023-05-21T00:00:00"/>
    <x v="9"/>
    <n v="0.11538461538461539"/>
  </r>
  <r>
    <s v="ORD-128"/>
    <s v="Will Smith"/>
    <s v="Amarillo"/>
    <x v="3"/>
    <x v="0"/>
    <s v="Smartwatch"/>
    <x v="82"/>
    <n v="1"/>
    <n v="0"/>
    <n v="44"/>
    <x v="1"/>
    <d v="2023-05-22T00:00:00"/>
    <x v="9"/>
    <n v="0.21153846153846154"/>
  </r>
  <r>
    <s v="ORD-129"/>
    <s v="Clint Eastwood"/>
    <s v="Grand Prairie"/>
    <x v="3"/>
    <x v="1"/>
    <s v="Sweater"/>
    <x v="83"/>
    <n v="2"/>
    <n v="0.1"/>
    <n v="13"/>
    <x v="0"/>
    <d v="2023-05-23T00:00:00"/>
    <x v="9"/>
    <n v="0.203125"/>
  </r>
  <r>
    <s v="ORD-130"/>
    <s v="Christian Bale"/>
    <s v="Unknown"/>
    <x v="3"/>
    <x v="2"/>
    <s v="Bed"/>
    <x v="84"/>
    <n v="1"/>
    <n v="0.2"/>
    <n v="158"/>
    <x v="1"/>
    <d v="2023-05-24T00:00:00"/>
    <x v="9"/>
    <n v="0.15192307692307691"/>
  </r>
  <r>
    <s v="ORD-131"/>
    <s v="Matt Damon"/>
    <s v="Brownsville"/>
    <x v="3"/>
    <x v="0"/>
    <s v="Camera"/>
    <x v="85"/>
    <n v="1"/>
    <n v="0"/>
    <n v="88"/>
    <x v="0"/>
    <d v="2023-05-25T00:00:00"/>
    <x v="9"/>
    <n v="0.13750000000000001"/>
  </r>
  <r>
    <s v="ORD-132"/>
    <s v="George Clooney"/>
    <s v="Pasadena"/>
    <x v="3"/>
    <x v="1"/>
    <s v="Shorts"/>
    <x v="86"/>
    <n v="3"/>
    <n v="0"/>
    <n v="7"/>
    <x v="1"/>
    <d v="2023-05-26T00:00:00"/>
    <x v="9"/>
    <n v="0.20588235294117646"/>
  </r>
  <r>
    <s v="ORD-134"/>
    <s v="Matthew Mcconaughey"/>
    <s v="Mesquite"/>
    <x v="3"/>
    <x v="0"/>
    <s v="Router"/>
    <x v="87"/>
    <n v="2"/>
    <n v="0.1"/>
    <n v="17"/>
    <x v="1"/>
    <d v="2023-05-28T00:00:00"/>
    <x v="9"/>
    <n v="0.20238095238095238"/>
  </r>
  <r>
    <s v="ORD-135"/>
    <s v="Chris Evans"/>
    <s v="Killeen"/>
    <x v="3"/>
    <x v="1"/>
    <s v="Socks"/>
    <x v="88"/>
    <n v="5"/>
    <n v="0"/>
    <n v="7"/>
    <x v="0"/>
    <d v="2023-05-29T00:00:00"/>
    <x v="9"/>
    <n v="0.41176470588235292"/>
  </r>
  <r>
    <s v="ORD-136"/>
    <s v="Chris Hemsworth"/>
    <s v="Frisco"/>
    <x v="3"/>
    <x v="2"/>
    <s v="Stool"/>
    <x v="89"/>
    <n v="4"/>
    <n v="0"/>
    <n v="13"/>
    <x v="1"/>
    <d v="2023-05-30T00:00:00"/>
    <x v="9"/>
    <n v="0.29545454545454547"/>
  </r>
  <r>
    <s v="ORD-137"/>
    <s v="Robert Downey Jr."/>
    <s v="McAllen"/>
    <x v="3"/>
    <x v="0"/>
    <s v="Keyboard"/>
    <x v="75"/>
    <n v="2"/>
    <n v="0"/>
    <n v="13"/>
    <x v="0"/>
    <d v="2023-05-31T00:00:00"/>
    <x v="9"/>
    <n v="0.24074074074074073"/>
  </r>
  <r>
    <s v="ORD-138"/>
    <s v="Mark Ruffalo"/>
    <s v="Unknown"/>
    <x v="3"/>
    <x v="1"/>
    <s v="Hat"/>
    <x v="57"/>
    <n v="1"/>
    <n v="0"/>
    <n v="7"/>
    <x v="1"/>
    <d v="2023-01-06T00:00:00"/>
    <x v="0"/>
    <n v="0.29166666666666669"/>
  </r>
  <r>
    <s v="ORD-139"/>
    <s v="Scarlett Johansson"/>
    <s v="Waco"/>
    <x v="3"/>
    <x v="2"/>
    <s v="Lamp"/>
    <x v="83"/>
    <n v="2"/>
    <n v="0.1"/>
    <n v="13"/>
    <x v="0"/>
    <d v="2023-06-02T00:00:00"/>
    <x v="2"/>
    <n v="0.203125"/>
  </r>
  <r>
    <s v="ORD-140"/>
    <s v="Jeremy Renner"/>
    <s v="Carrollton"/>
    <x v="3"/>
    <x v="0"/>
    <s v="Mouse"/>
    <x v="90"/>
    <n v="3"/>
    <n v="0"/>
    <n v="7"/>
    <x v="1"/>
    <d v="2023-03-06T00:00:00"/>
    <x v="5"/>
    <n v="0.2413793103448276"/>
  </r>
  <r>
    <s v="ORD-141"/>
    <s v="Anne Hathaway"/>
    <s v="Philadelphia"/>
    <x v="5"/>
    <x v="0"/>
    <s v="Laptop"/>
    <x v="91"/>
    <n v="1"/>
    <n v="0.1"/>
    <n v="152"/>
    <x v="0"/>
    <d v="2023-04-06T00:00:00"/>
    <x v="7"/>
    <n v="0.12561983471074381"/>
  </r>
  <r>
    <s v="ORD-142"/>
    <s v="Natalie Portman"/>
    <s v="pittsburgh"/>
    <x v="5"/>
    <x v="1"/>
    <s v="T-Shirt"/>
    <x v="92"/>
    <n v="2"/>
    <n v="0"/>
    <n v="12"/>
    <x v="1"/>
    <d v="2023-06-05T00:00:00"/>
    <x v="2"/>
    <n v="0.44444444444444442"/>
  </r>
  <r>
    <s v="ORD-144"/>
    <s v="Jennifer Lawrence"/>
    <s v="Allentown"/>
    <x v="5"/>
    <x v="0"/>
    <s v="Smartphone"/>
    <x v="93"/>
    <n v="1"/>
    <n v="0.05"/>
    <n v="112"/>
    <x v="0"/>
    <d v="2023-07-06T00:00:00"/>
    <x v="10"/>
    <n v="0.13333333333333333"/>
  </r>
  <r>
    <s v="ORD-145"/>
    <s v="Angelina Jolie"/>
    <s v="Erie"/>
    <x v="5"/>
    <x v="1"/>
    <s v="Jeans"/>
    <x v="94"/>
    <n v="3"/>
    <n v="0"/>
    <n v="19"/>
    <x v="1"/>
    <d v="2023-08-06T00:00:00"/>
    <x v="8"/>
    <n v="0.3392857142857143"/>
  </r>
  <r>
    <s v="ORD-146"/>
    <s v="Charlize Theron"/>
    <s v="Reading"/>
    <x v="5"/>
    <x v="2"/>
    <s v="Chair"/>
    <x v="95"/>
    <n v="4"/>
    <n v="0.1"/>
    <n v="24"/>
    <x v="1"/>
    <d v="2023-06-09T00:00:00"/>
    <x v="2"/>
    <n v="0.14814814814814814"/>
  </r>
  <r>
    <s v="ORD-147"/>
    <s v="Julia Roberts"/>
    <s v="Scranton"/>
    <x v="5"/>
    <x v="0"/>
    <s v="Tablet"/>
    <x v="96"/>
    <n v="2"/>
    <n v="0"/>
    <n v="46"/>
    <x v="0"/>
    <d v="2023-10-06T00:00:00"/>
    <x v="11"/>
    <n v="0.14743589743589744"/>
  </r>
  <r>
    <s v="ORD-148"/>
    <s v="Nicole Kidman"/>
    <s v="Unknown"/>
    <x v="5"/>
    <x v="1"/>
    <s v="Dress"/>
    <x v="51"/>
    <n v="1"/>
    <n v="0.2"/>
    <n v="19"/>
    <x v="1"/>
    <d v="2023-11-06T00:00:00"/>
    <x v="4"/>
    <n v="0.23170731707317074"/>
  </r>
  <r>
    <s v="ORD-149"/>
    <s v="Cate Blanchett"/>
    <s v="Bethlehem"/>
    <x v="5"/>
    <x v="2"/>
    <s v="Sofa"/>
    <x v="97"/>
    <n v="1"/>
    <n v="0.15"/>
    <n v="112"/>
    <x v="0"/>
    <d v="2023-06-12T00:00:00"/>
    <x v="2"/>
    <n v="0.11666666666666667"/>
  </r>
  <r>
    <s v="ORD-152"/>
    <s v="Reese Witherspoon"/>
    <s v="Altoona"/>
    <x v="5"/>
    <x v="2"/>
    <s v="Table"/>
    <x v="98"/>
    <n v="1"/>
    <n v="0.1"/>
    <n v="46"/>
    <x v="1"/>
    <d v="2023-06-15T00:00:00"/>
    <x v="2"/>
    <n v="0.1270718232044199"/>
  </r>
  <r>
    <s v="ORD-153"/>
    <s v="Kate Winslet"/>
    <s v="York"/>
    <x v="5"/>
    <x v="0"/>
    <s v="Monitor"/>
    <x v="99"/>
    <n v="2"/>
    <n v="0.05"/>
    <n v="36"/>
    <x v="0"/>
    <d v="2023-06-16T00:00:00"/>
    <x v="2"/>
    <n v="0.13740458015267176"/>
  </r>
  <r>
    <s v="ORD-154"/>
    <s v="Halle Berry"/>
    <s v="State College"/>
    <x v="5"/>
    <x v="1"/>
    <s v="Jacket"/>
    <x v="95"/>
    <n v="1"/>
    <n v="0"/>
    <n v="31"/>
    <x v="1"/>
    <d v="2023-06-17T00:00:00"/>
    <x v="2"/>
    <n v="0.19135802469135801"/>
  </r>
  <r>
    <s v="ORD-155"/>
    <s v="Cameron Diaz"/>
    <s v="Wilkes-Barre"/>
    <x v="5"/>
    <x v="2"/>
    <s v="Bookshelf"/>
    <x v="100"/>
    <n v="1"/>
    <n v="0.1"/>
    <n v="26"/>
    <x v="0"/>
    <d v="2023-06-18T00:00:00"/>
    <x v="2"/>
    <n v="0.12264150943396226"/>
  </r>
  <r>
    <s v="ORD-156"/>
    <s v="Drew Barrymore"/>
    <s v="Norristown"/>
    <x v="5"/>
    <x v="0"/>
    <s v="Smartwatch"/>
    <x v="100"/>
    <n v="1"/>
    <n v="0"/>
    <n v="46"/>
    <x v="1"/>
    <d v="2023-06-19T00:00:00"/>
    <x v="2"/>
    <n v="0.21698113207547171"/>
  </r>
  <r>
    <s v="ORD-157"/>
    <s v="Penelope Cruz"/>
    <s v="Chester"/>
    <x v="5"/>
    <x v="1"/>
    <s v="Sweater"/>
    <x v="101"/>
    <n v="2"/>
    <n v="0.1"/>
    <n v="14"/>
    <x v="0"/>
    <d v="2023-06-20T00:00:00"/>
    <x v="2"/>
    <n v="0.21212121212121213"/>
  </r>
  <r>
    <s v="ORD-158"/>
    <s v="Salma Hayek"/>
    <s v="Unknown"/>
    <x v="5"/>
    <x v="2"/>
    <s v="Bed"/>
    <x v="102"/>
    <n v="1"/>
    <n v="0.2"/>
    <n v="162"/>
    <x v="1"/>
    <d v="2023-06-21T00:00:00"/>
    <x v="2"/>
    <n v="0.15283018867924528"/>
  </r>
  <r>
    <s v="ORD-159"/>
    <s v="Jennifer Aniston"/>
    <s v="Bethel Park"/>
    <x v="5"/>
    <x v="0"/>
    <s v="Camera"/>
    <x v="103"/>
    <n v="1"/>
    <n v="0"/>
    <n v="92"/>
    <x v="0"/>
    <d v="2023-06-22T00:00:00"/>
    <x v="2"/>
    <n v="0.1393939393939394"/>
  </r>
  <r>
    <s v="ORD-160"/>
    <s v="Courteney Cox"/>
    <s v="Williamsport"/>
    <x v="5"/>
    <x v="1"/>
    <s v="Shorts"/>
    <x v="104"/>
    <n v="3"/>
    <n v="0"/>
    <n v="8"/>
    <x v="1"/>
    <d v="2023-06-23T00:00:00"/>
    <x v="2"/>
    <n v="0.22222222222222221"/>
  </r>
  <r>
    <s v="ORD-162"/>
    <s v="Gwyneth Paltrow"/>
    <s v="Plum"/>
    <x v="5"/>
    <x v="0"/>
    <s v="Router"/>
    <x v="105"/>
    <n v="2"/>
    <n v="0.1"/>
    <n v="19"/>
    <x v="1"/>
    <d v="2023-06-25T00:00:00"/>
    <x v="2"/>
    <n v="0.22093023255813954"/>
  </r>
  <r>
    <s v="ORD-163"/>
    <s v="Megan Fox"/>
    <s v="Easton"/>
    <x v="5"/>
    <x v="1"/>
    <s v="Socks"/>
    <x v="106"/>
    <n v="5"/>
    <n v="0"/>
    <n v="8"/>
    <x v="0"/>
    <d v="2023-06-26T00:00:00"/>
    <x v="2"/>
    <n v="0.42105263157894735"/>
  </r>
  <r>
    <s v="ORD-164"/>
    <s v="Jessica Alba"/>
    <s v="Lebanon"/>
    <x v="5"/>
    <x v="2"/>
    <s v="Stool"/>
    <x v="107"/>
    <n v="4"/>
    <n v="0"/>
    <n v="14"/>
    <x v="1"/>
    <d v="2023-06-27T00:00:00"/>
    <x v="2"/>
    <n v="0.30434782608695654"/>
  </r>
  <r>
    <s v="ORD-165"/>
    <s v="Scarlett Johansson"/>
    <s v="Hazleton"/>
    <x v="5"/>
    <x v="0"/>
    <s v="Keyboard"/>
    <x v="94"/>
    <n v="2"/>
    <n v="0"/>
    <n v="14"/>
    <x v="0"/>
    <d v="2023-06-28T00:00:00"/>
    <x v="2"/>
    <n v="0.25"/>
  </r>
  <r>
    <s v="ORD-166"/>
    <s v="Mila Kunis"/>
    <s v="Unknown"/>
    <x v="5"/>
    <x v="1"/>
    <s v="Hat"/>
    <x v="55"/>
    <n v="1"/>
    <n v="0"/>
    <n v="8"/>
    <x v="1"/>
    <d v="2023-06-29T00:00:00"/>
    <x v="2"/>
    <n v="0.30769230769230771"/>
  </r>
  <r>
    <s v="ORD-167"/>
    <s v="Natalie Portman"/>
    <s v="New Castle"/>
    <x v="5"/>
    <x v="2"/>
    <s v="Lamp"/>
    <x v="101"/>
    <n v="2"/>
    <n v="0.1"/>
    <n v="14"/>
    <x v="0"/>
    <d v="2023-06-30T00:00:00"/>
    <x v="2"/>
    <n v="0.21212121212121213"/>
  </r>
  <r>
    <s v="ORD-168"/>
    <s v="Keira Knightley"/>
    <s v="Pottstown"/>
    <x v="5"/>
    <x v="0"/>
    <s v="Mouse"/>
    <x v="70"/>
    <n v="3"/>
    <n v="0"/>
    <n v="8"/>
    <x v="1"/>
    <d v="2023-01-07T00:00:00"/>
    <x v="0"/>
    <n v="0.25806451612903225"/>
  </r>
  <r>
    <s v="ORD-169"/>
    <s v="Daniel Craig"/>
    <s v="Phoenix"/>
    <x v="4"/>
    <x v="0"/>
    <s v="Laptop"/>
    <x v="108"/>
    <n v="1"/>
    <n v="0.1"/>
    <n v="155"/>
    <x v="0"/>
    <d v="2023-02-07T00:00:00"/>
    <x v="1"/>
    <n v="0.12704918032786885"/>
  </r>
  <r>
    <s v="ORD-170"/>
    <s v="Sean Connery"/>
    <s v="tucson"/>
    <x v="4"/>
    <x v="1"/>
    <s v="T-Shirt"/>
    <x v="36"/>
    <n v="2"/>
    <n v="0"/>
    <n v="13"/>
    <x v="1"/>
    <d v="2023-07-03T00:00:00"/>
    <x v="10"/>
    <n v="0.4642857142857143"/>
  </r>
  <r>
    <s v="ORD-172"/>
    <s v="Pierce Brosnan"/>
    <s v="Mesa"/>
    <x v="4"/>
    <x v="0"/>
    <s v="Smartphone"/>
    <x v="109"/>
    <n v="1"/>
    <n v="0.05"/>
    <n v="115"/>
    <x v="0"/>
    <d v="2023-05-07T00:00:00"/>
    <x v="9"/>
    <n v="0.13372093023255813"/>
  </r>
  <r>
    <s v="ORD-173"/>
    <s v="Timothy Dalton"/>
    <s v="Chandler"/>
    <x v="4"/>
    <x v="1"/>
    <s v="Jeans"/>
    <x v="110"/>
    <n v="3"/>
    <n v="0"/>
    <n v="21"/>
    <x v="1"/>
    <d v="2023-06-07T00:00:00"/>
    <x v="2"/>
    <n v="0.36206896551724138"/>
  </r>
  <r>
    <s v="ORD-174"/>
    <s v="George Lazenby"/>
    <s v="Glendale"/>
    <x v="4"/>
    <x v="2"/>
    <s v="Chair"/>
    <x v="111"/>
    <n v="4"/>
    <n v="0.1"/>
    <n v="25"/>
    <x v="1"/>
    <d v="2023-07-07T00:00:00"/>
    <x v="10"/>
    <n v="0.15151515151515152"/>
  </r>
  <r>
    <s v="ORD-175"/>
    <s v="Judi Dench"/>
    <s v="Scottsdale"/>
    <x v="4"/>
    <x v="0"/>
    <s v="Tablet"/>
    <x v="112"/>
    <n v="2"/>
    <n v="0"/>
    <n v="48"/>
    <x v="0"/>
    <d v="2023-08-07T00:00:00"/>
    <x v="8"/>
    <n v="0.15238095238095239"/>
  </r>
  <r>
    <s v="ORD-176"/>
    <s v="Ralph Fiennes"/>
    <s v="Unknown"/>
    <x v="4"/>
    <x v="1"/>
    <s v="Dress"/>
    <x v="32"/>
    <n v="1"/>
    <n v="0.2"/>
    <n v="21"/>
    <x v="1"/>
    <d v="2023-09-07T00:00:00"/>
    <x v="3"/>
    <n v="0.24705882352941178"/>
  </r>
  <r>
    <s v="ORD-177"/>
    <s v="Naomie Harris"/>
    <s v="Gilbert"/>
    <x v="4"/>
    <x v="2"/>
    <s v="Sofa"/>
    <x v="113"/>
    <n v="1"/>
    <n v="0.15"/>
    <n v="115"/>
    <x v="0"/>
    <d v="2023-07-10T00:00:00"/>
    <x v="10"/>
    <n v="0.11734693877551021"/>
  </r>
  <r>
    <s v="ORD-180"/>
    <s v="Jeffrey Wright"/>
    <s v="Surprise"/>
    <x v="4"/>
    <x v="2"/>
    <s v="Table"/>
    <x v="114"/>
    <n v="1"/>
    <n v="0.1"/>
    <n v="48"/>
    <x v="1"/>
    <d v="2023-07-13T00:00:00"/>
    <x v="10"/>
    <n v="0.13150684931506848"/>
  </r>
  <r>
    <s v="ORD-181"/>
    <s v="Léa Seydoux"/>
    <s v="Yuma"/>
    <x v="4"/>
    <x v="0"/>
    <s v="Monitor"/>
    <x v="115"/>
    <n v="2"/>
    <n v="0.05"/>
    <n v="38"/>
    <x v="0"/>
    <d v="2023-07-14T00:00:00"/>
    <x v="10"/>
    <n v="0.14339622641509434"/>
  </r>
  <r>
    <s v="ORD-182"/>
    <s v="Christoph Waltz"/>
    <s v="San Tan Valley"/>
    <x v="4"/>
    <x v="1"/>
    <s v="Jacket"/>
    <x v="111"/>
    <n v="1"/>
    <n v="0"/>
    <n v="33"/>
    <x v="1"/>
    <d v="2023-07-15T00:00:00"/>
    <x v="10"/>
    <n v="0.2"/>
  </r>
  <r>
    <s v="ORD-183"/>
    <s v="Javier Bardem"/>
    <s v="Avondale"/>
    <x v="4"/>
    <x v="2"/>
    <s v="Bookshelf"/>
    <x v="116"/>
    <n v="1"/>
    <n v="0.1"/>
    <n v="28"/>
    <x v="0"/>
    <d v="2023-07-16T00:00:00"/>
    <x v="10"/>
    <n v="0.13023255813953488"/>
  </r>
  <r>
    <s v="ORD-184"/>
    <s v="Rami Malek"/>
    <s v="Goodyear"/>
    <x v="4"/>
    <x v="0"/>
    <s v="Smartwatch"/>
    <x v="116"/>
    <n v="1"/>
    <n v="0"/>
    <n v="48"/>
    <x v="1"/>
    <d v="2023-07-17T00:00:00"/>
    <x v="10"/>
    <n v="0.22325581395348837"/>
  </r>
  <r>
    <s v="ORD-185"/>
    <s v="Mads Mikkelsen"/>
    <s v="Flagstaff"/>
    <x v="4"/>
    <x v="1"/>
    <s v="Sweater"/>
    <x v="117"/>
    <n v="2"/>
    <n v="0.1"/>
    <n v="15"/>
    <x v="0"/>
    <d v="2023-07-18T00:00:00"/>
    <x v="10"/>
    <n v="0.22058823529411764"/>
  </r>
  <r>
    <s v="ORD-186"/>
    <s v="Mathieu Amalric"/>
    <s v="Unknown"/>
    <x v="4"/>
    <x v="2"/>
    <s v="Bed"/>
    <x v="118"/>
    <n v="1"/>
    <n v="0.2"/>
    <n v="165"/>
    <x v="1"/>
    <d v="2023-07-19T00:00:00"/>
    <x v="10"/>
    <n v="0.15277777777777779"/>
  </r>
  <r>
    <s v="ORD-187"/>
    <s v="Toby Stephens"/>
    <s v="Buckeye"/>
    <x v="4"/>
    <x v="0"/>
    <s v="Camera"/>
    <x v="119"/>
    <n v="1"/>
    <n v="0"/>
    <n v="95"/>
    <x v="0"/>
    <d v="2023-07-20T00:00:00"/>
    <x v="10"/>
    <n v="0.13970588235294118"/>
  </r>
  <r>
    <s v="ORD-188"/>
    <s v="Sean Bean"/>
    <s v="Lake Havasu City"/>
    <x v="4"/>
    <x v="1"/>
    <s v="Shorts"/>
    <x v="120"/>
    <n v="3"/>
    <n v="0"/>
    <n v="9"/>
    <x v="1"/>
    <d v="2023-07-21T00:00:00"/>
    <x v="10"/>
    <n v="0.23684210526315788"/>
  </r>
  <r>
    <s v="ORD-190"/>
    <s v="Sophie Marceau"/>
    <s v="Sierra Vista"/>
    <x v="4"/>
    <x v="0"/>
    <s v="Router"/>
    <x v="121"/>
    <n v="2"/>
    <n v="0.1"/>
    <n v="21"/>
    <x v="1"/>
    <d v="2023-07-23T00:00:00"/>
    <x v="10"/>
    <n v="0.23863636363636365"/>
  </r>
  <r>
    <s v="ORD-191"/>
    <s v="Famke Janssen"/>
    <s v="Maricopa"/>
    <x v="4"/>
    <x v="1"/>
    <s v="Socks"/>
    <x v="54"/>
    <n v="5"/>
    <n v="0"/>
    <n v="9"/>
    <x v="0"/>
    <d v="2023-07-24T00:00:00"/>
    <x v="10"/>
    <n v="0.42857142857142855"/>
  </r>
  <r>
    <s v="ORD-192"/>
    <s v="Izabella Scorupco"/>
    <s v="Oro Valley"/>
    <x v="4"/>
    <x v="2"/>
    <s v="Stool"/>
    <x v="122"/>
    <n v="4"/>
    <n v="0"/>
    <n v="15"/>
    <x v="1"/>
    <d v="2023-07-25T00:00:00"/>
    <x v="10"/>
    <n v="0.3125"/>
  </r>
  <r>
    <s v="ORD-193"/>
    <s v="Carey Lowell"/>
    <s v="Prescott"/>
    <x v="4"/>
    <x v="0"/>
    <s v="Keyboard"/>
    <x v="110"/>
    <n v="2"/>
    <n v="0"/>
    <n v="15"/>
    <x v="0"/>
    <d v="2023-07-26T00:00:00"/>
    <x v="10"/>
    <n v="0.25862068965517243"/>
  </r>
  <r>
    <s v="ORD-194"/>
    <s v="Talisa Soto"/>
    <s v="Unknown"/>
    <x v="4"/>
    <x v="1"/>
    <s v="Hat"/>
    <x v="36"/>
    <n v="1"/>
    <n v="0"/>
    <n v="9"/>
    <x v="1"/>
    <d v="2023-07-27T00:00:00"/>
    <x v="10"/>
    <n v="0.32142857142857145"/>
  </r>
  <r>
    <s v="ORD-195"/>
    <s v="Maryam D'Abo"/>
    <s v="Bullhead City"/>
    <x v="4"/>
    <x v="2"/>
    <s v="Lamp"/>
    <x v="117"/>
    <n v="2"/>
    <n v="0.1"/>
    <n v="15"/>
    <x v="0"/>
    <d v="2023-07-28T00:00:00"/>
    <x v="10"/>
    <n v="0.22058823529411764"/>
  </r>
  <r>
    <s v="ORD-196"/>
    <s v="Grace Jones"/>
    <s v="Prescott Valley"/>
    <x v="4"/>
    <x v="0"/>
    <s v="Mouse"/>
    <x v="123"/>
    <n v="3"/>
    <n v="0"/>
    <n v="9"/>
    <x v="1"/>
    <d v="2023-07-29T00:00:00"/>
    <x v="10"/>
    <n v="0.27272727272727271"/>
  </r>
  <r>
    <s v="ORD-197"/>
    <s v="Harrison Ford"/>
    <s v="Columbus"/>
    <x v="7"/>
    <x v="0"/>
    <s v="Laptop"/>
    <x v="124"/>
    <n v="1"/>
    <n v="0.1"/>
    <n v="158"/>
    <x v="0"/>
    <d v="2023-07-30T00:00:00"/>
    <x v="10"/>
    <n v="0.12845528455284552"/>
  </r>
  <r>
    <s v="ORD-198"/>
    <s v="Carrie Fisher"/>
    <s v="cleveland"/>
    <x v="7"/>
    <x v="1"/>
    <s v="T-Shirt"/>
    <x v="90"/>
    <n v="2"/>
    <n v="0"/>
    <n v="14"/>
    <x v="1"/>
    <d v="2023-07-31T00:00:00"/>
    <x v="10"/>
    <n v="0.48275862068965519"/>
  </r>
  <r>
    <s v="ORD-200"/>
    <s v="Alec Guinness"/>
    <s v="Cincinnati"/>
    <x v="7"/>
    <x v="0"/>
    <s v="Smartphone"/>
    <x v="125"/>
    <n v="1"/>
    <n v="0.05"/>
    <n v="118"/>
    <x v="0"/>
    <d v="2023-02-08T00:00:00"/>
    <x v="1"/>
    <n v="0.13409090909090909"/>
  </r>
  <r>
    <s v="ORD-201"/>
    <s v="Peter Mayhew"/>
    <s v="Toledo"/>
    <x v="7"/>
    <x v="1"/>
    <s v="Jeans"/>
    <x v="11"/>
    <n v="3"/>
    <n v="0"/>
    <n v="23"/>
    <x v="1"/>
    <d v="2023-03-08T00:00:00"/>
    <x v="5"/>
    <n v="0.38333333333333336"/>
  </r>
  <r>
    <s v="ORD-202"/>
    <s v="Anthony Daniels"/>
    <s v="Akron"/>
    <x v="7"/>
    <x v="2"/>
    <s v="Chair"/>
    <x v="126"/>
    <n v="4"/>
    <n v="0.1"/>
    <n v="26"/>
    <x v="1"/>
    <d v="2023-08-04T00:00:00"/>
    <x v="8"/>
    <n v="0.15476190476190477"/>
  </r>
  <r>
    <s v="ORD-203"/>
    <s v="Kenny Baker"/>
    <s v="Dayton"/>
    <x v="7"/>
    <x v="0"/>
    <s v="Tablet"/>
    <x v="127"/>
    <n v="2"/>
    <n v="0"/>
    <n v="50"/>
    <x v="0"/>
    <d v="2023-05-08T00:00:00"/>
    <x v="9"/>
    <n v="0.15723270440251572"/>
  </r>
  <r>
    <s v="ORD-204"/>
    <s v="Billy Dee Williams"/>
    <s v="Unknown"/>
    <x v="7"/>
    <x v="1"/>
    <s v="Dress"/>
    <x v="121"/>
    <n v="1"/>
    <n v="0.2"/>
    <n v="23"/>
    <x v="1"/>
    <d v="2023-06-08T00:00:00"/>
    <x v="2"/>
    <n v="0.26136363636363635"/>
  </r>
  <r>
    <s v="ORD-205"/>
    <s v="Frank Oz"/>
    <s v="Parma"/>
    <x v="7"/>
    <x v="2"/>
    <s v="Sofa"/>
    <x v="128"/>
    <n v="1"/>
    <n v="0.15"/>
    <n v="118"/>
    <x v="0"/>
    <d v="2023-08-07T00:00:00"/>
    <x v="8"/>
    <n v="0.1191919191919192"/>
  </r>
  <r>
    <s v="ORD-208"/>
    <s v="Ian Mcdiarmid"/>
    <s v="Lorain"/>
    <x v="7"/>
    <x v="2"/>
    <s v="Table"/>
    <x v="129"/>
    <n v="1"/>
    <n v="0.1"/>
    <n v="50"/>
    <x v="1"/>
    <d v="2023-08-10T00:00:00"/>
    <x v="8"/>
    <n v="0.1358695652173913"/>
  </r>
  <r>
    <s v="ORD-209"/>
    <s v="Ewan Mcgregor"/>
    <s v="Hamilton"/>
    <x v="7"/>
    <x v="0"/>
    <s v="Monitor"/>
    <x v="130"/>
    <n v="2"/>
    <n v="0.05"/>
    <n v="40"/>
    <x v="0"/>
    <d v="2023-08-11T00:00:00"/>
    <x v="8"/>
    <n v="0.14925373134328357"/>
  </r>
  <r>
    <s v="ORD-210"/>
    <s v="Natalie Portman"/>
    <s v="Springfield"/>
    <x v="7"/>
    <x v="1"/>
    <s v="Jacket"/>
    <x v="126"/>
    <n v="1"/>
    <n v="0"/>
    <n v="35"/>
    <x v="1"/>
    <d v="2023-12-08T00:00:00"/>
    <x v="6"/>
    <n v="0.20833333333333334"/>
  </r>
  <r>
    <s v="ORD-211"/>
    <s v="Hayden Christensen"/>
    <s v="Kettering"/>
    <x v="7"/>
    <x v="2"/>
    <s v="Bookshelf"/>
    <x v="131"/>
    <n v="1"/>
    <n v="0.1"/>
    <n v="30"/>
    <x v="0"/>
    <d v="2023-08-13T00:00:00"/>
    <x v="8"/>
    <n v="0.13761467889908258"/>
  </r>
  <r>
    <s v="ORD-212"/>
    <s v="Liam Neeson"/>
    <s v="Elyria"/>
    <x v="7"/>
    <x v="0"/>
    <s v="Smartwatch"/>
    <x v="131"/>
    <n v="1"/>
    <n v="0"/>
    <n v="50"/>
    <x v="1"/>
    <d v="2023-08-14T00:00:00"/>
    <x v="8"/>
    <n v="0.22935779816513763"/>
  </r>
  <r>
    <s v="ORD-213"/>
    <s v="Samuel L. Jackson"/>
    <s v="Lakewood"/>
    <x v="7"/>
    <x v="1"/>
    <s v="Sweater"/>
    <x v="132"/>
    <n v="2"/>
    <n v="0.1"/>
    <n v="16"/>
    <x v="0"/>
    <d v="2023-08-15T00:00:00"/>
    <x v="8"/>
    <n v="0.22857142857142856"/>
  </r>
  <r>
    <s v="ORD-214"/>
    <s v="Christopher Lee"/>
    <s v="Unknown"/>
    <x v="7"/>
    <x v="2"/>
    <s v="Bed"/>
    <x v="19"/>
    <n v="1"/>
    <n v="0.2"/>
    <n v="168"/>
    <x v="1"/>
    <d v="2023-08-16T00:00:00"/>
    <x v="8"/>
    <n v="0.15272727272727274"/>
  </r>
  <r>
    <s v="ORD-215"/>
    <s v="Jimmy Smits"/>
    <s v="Cuyahoga Falls"/>
    <x v="7"/>
    <x v="0"/>
    <s v="Camera"/>
    <x v="133"/>
    <n v="1"/>
    <n v="0"/>
    <n v="98"/>
    <x v="0"/>
    <d v="2023-08-17T00:00:00"/>
    <x v="8"/>
    <n v="0.14000000000000001"/>
  </r>
  <r>
    <s v="ORD-216"/>
    <s v="Daisy Ridley"/>
    <s v="Euclid"/>
    <x v="7"/>
    <x v="1"/>
    <s v="Shorts"/>
    <x v="17"/>
    <n v="3"/>
    <n v="0"/>
    <n v="10"/>
    <x v="1"/>
    <d v="2023-08-18T00:00:00"/>
    <x v="8"/>
    <n v="0.25"/>
  </r>
  <r>
    <s v="ORD-218"/>
    <s v="Oscar Isaac"/>
    <s v="Mansfield"/>
    <x v="7"/>
    <x v="0"/>
    <s v="Router"/>
    <x v="134"/>
    <n v="2"/>
    <n v="0.1"/>
    <n v="23"/>
    <x v="1"/>
    <d v="2023-08-20T00:00:00"/>
    <x v="8"/>
    <n v="0.25555555555555554"/>
  </r>
  <r>
    <s v="ORD-219"/>
    <s v="Adam Driver"/>
    <s v="Newark"/>
    <x v="7"/>
    <x v="1"/>
    <s v="Socks"/>
    <x v="135"/>
    <n v="5"/>
    <n v="0"/>
    <n v="10"/>
    <x v="0"/>
    <d v="2023-08-21T00:00:00"/>
    <x v="8"/>
    <n v="0.43478260869565216"/>
  </r>
  <r>
    <s v="ORD-220"/>
    <s v="Domhnall Gleeson"/>
    <s v="Strongsville"/>
    <x v="7"/>
    <x v="2"/>
    <s v="Stool"/>
    <x v="3"/>
    <n v="4"/>
    <n v="0"/>
    <n v="16"/>
    <x v="1"/>
    <d v="2023-08-22T00:00:00"/>
    <x v="8"/>
    <n v="0.32"/>
  </r>
  <r>
    <s v="ORD-221"/>
    <s v="Gwendoline Christie"/>
    <s v="Fairfield"/>
    <x v="7"/>
    <x v="0"/>
    <s v="Keyboard"/>
    <x v="11"/>
    <n v="2"/>
    <n v="0"/>
    <n v="16"/>
    <x v="0"/>
    <d v="2023-08-23T00:00:00"/>
    <x v="8"/>
    <n v="0.26666666666666666"/>
  </r>
  <r>
    <s v="ORD-222"/>
    <s v="Andy Serkis"/>
    <s v="Unknown"/>
    <x v="7"/>
    <x v="1"/>
    <s v="Hat"/>
    <x v="14"/>
    <n v="1"/>
    <n v="0"/>
    <n v="10"/>
    <x v="1"/>
    <d v="2023-08-24T00:00:00"/>
    <x v="8"/>
    <n v="0.33333333333333331"/>
  </r>
  <r>
    <s v="ORD-223"/>
    <s v="Lupita Nyong'O"/>
    <s v="Findlay"/>
    <x v="7"/>
    <x v="2"/>
    <s v="Lamp"/>
    <x v="132"/>
    <n v="2"/>
    <n v="0.1"/>
    <n v="16"/>
    <x v="0"/>
    <d v="2023-08-25T00:00:00"/>
    <x v="8"/>
    <n v="0.22857142857142856"/>
  </r>
  <r>
    <s v="ORD-224"/>
    <s v="Kelly Marie Tran"/>
    <s v="Warren"/>
    <x v="7"/>
    <x v="0"/>
    <s v="Mouse"/>
    <x v="31"/>
    <n v="3"/>
    <n v="0"/>
    <n v="10"/>
    <x v="1"/>
    <d v="2023-08-26T00:00:00"/>
    <x v="8"/>
    <n v="0.2857142857142857"/>
  </r>
  <r>
    <s v="ORD-225"/>
    <s v="Chris Pine"/>
    <s v="Charlotte"/>
    <x v="8"/>
    <x v="0"/>
    <s v="Laptop"/>
    <x v="136"/>
    <n v="1"/>
    <n v="0.1"/>
    <n v="160"/>
    <x v="0"/>
    <d v="2023-08-27T00:00:00"/>
    <x v="8"/>
    <n v="0.12903225806451613"/>
  </r>
  <r>
    <s v="ORD-226"/>
    <s v="Zachary Quinto"/>
    <s v="raleigh"/>
    <x v="8"/>
    <x v="1"/>
    <s v="T-Shirt"/>
    <x v="14"/>
    <n v="2"/>
    <n v="0"/>
    <n v="15"/>
    <x v="1"/>
    <d v="2023-08-28T00:00:00"/>
    <x v="8"/>
    <n v="0.5"/>
  </r>
  <r>
    <s v="ORD-228"/>
    <s v="Zoe Saldana"/>
    <s v="Greensboro"/>
    <x v="8"/>
    <x v="0"/>
    <s v="Smartphone"/>
    <x v="7"/>
    <n v="1"/>
    <n v="0.05"/>
    <n v="120"/>
    <x v="0"/>
    <d v="2023-08-30T00:00:00"/>
    <x v="8"/>
    <n v="0.13333333333333333"/>
  </r>
  <r>
    <s v="ORD-229"/>
    <s v="Simon Pegg"/>
    <s v="Durham"/>
    <x v="8"/>
    <x v="1"/>
    <s v="Jeans"/>
    <x v="47"/>
    <n v="3"/>
    <n v="0"/>
    <n v="25"/>
    <x v="1"/>
    <d v="2023-08-31T00:00:00"/>
    <x v="8"/>
    <n v="0.40322580645161288"/>
  </r>
  <r>
    <s v="ORD-230"/>
    <s v="John Cho"/>
    <s v="Winston-Salem"/>
    <x v="8"/>
    <x v="2"/>
    <s v="Chair"/>
    <x v="137"/>
    <n v="4"/>
    <n v="0.1"/>
    <n v="28"/>
    <x v="1"/>
    <d v="2023-09-01T00:00:00"/>
    <x v="3"/>
    <n v="0.16470588235294117"/>
  </r>
  <r>
    <s v="ORD-231"/>
    <s v="Anton Yelchin"/>
    <s v="Fayetteville"/>
    <x v="8"/>
    <x v="0"/>
    <s v="Tablet"/>
    <x v="138"/>
    <n v="2"/>
    <n v="0"/>
    <n v="52"/>
    <x v="0"/>
    <d v="2023-02-09T00:00:00"/>
    <x v="1"/>
    <n v="0.16250000000000001"/>
  </r>
  <r>
    <s v="ORD-232"/>
    <s v="Bruce Greenwood"/>
    <s v="Unknown"/>
    <x v="8"/>
    <x v="1"/>
    <s v="Dress"/>
    <x v="134"/>
    <n v="1"/>
    <n v="0.2"/>
    <n v="25"/>
    <x v="1"/>
    <d v="2023-03-09T00:00:00"/>
    <x v="5"/>
    <n v="0.27777777777777779"/>
  </r>
  <r>
    <s v="ORD-233"/>
    <s v="Eric Bana"/>
    <s v="Cary"/>
    <x v="8"/>
    <x v="2"/>
    <s v="Sofa"/>
    <x v="12"/>
    <n v="1"/>
    <n v="0.15"/>
    <n v="120"/>
    <x v="0"/>
    <d v="2023-09-04T00:00:00"/>
    <x v="3"/>
    <n v="0.12"/>
  </r>
  <r>
    <s v="ORD-236"/>
    <s v="Alice Eve"/>
    <s v="Concord"/>
    <x v="8"/>
    <x v="2"/>
    <s v="Table"/>
    <x v="139"/>
    <n v="1"/>
    <n v="0.1"/>
    <n v="52"/>
    <x v="1"/>
    <d v="2023-09-07T00:00:00"/>
    <x v="3"/>
    <n v="0.14054054054054055"/>
  </r>
  <r>
    <s v="ORD-237"/>
    <s v="Peter Weller"/>
    <s v="Asheville"/>
    <x v="8"/>
    <x v="0"/>
    <s v="Monitor"/>
    <x v="140"/>
    <n v="2"/>
    <n v="0.05"/>
    <n v="42"/>
    <x v="0"/>
    <d v="2023-09-08T00:00:00"/>
    <x v="3"/>
    <n v="0.15555555555555556"/>
  </r>
  <r>
    <s v="ORD-238"/>
    <s v="Idris Elba"/>
    <s v="Greenville"/>
    <x v="8"/>
    <x v="1"/>
    <s v="Jacket"/>
    <x v="137"/>
    <n v="1"/>
    <n v="0"/>
    <n v="37"/>
    <x v="1"/>
    <d v="2023-09-09T00:00:00"/>
    <x v="3"/>
    <n v="0.21764705882352942"/>
  </r>
  <r>
    <s v="ORD-239"/>
    <s v="Sofia Boutella"/>
    <s v="Gastonia"/>
    <x v="8"/>
    <x v="2"/>
    <s v="Bookshelf"/>
    <x v="141"/>
    <n v="1"/>
    <n v="0.1"/>
    <n v="32"/>
    <x v="0"/>
    <d v="2023-10-09T00:00:00"/>
    <x v="11"/>
    <n v="0.14545454545454545"/>
  </r>
  <r>
    <s v="ORD-240"/>
    <s v="Joe Taslim"/>
    <s v="Jacksonville"/>
    <x v="8"/>
    <x v="0"/>
    <s v="Smartwatch"/>
    <x v="141"/>
    <n v="1"/>
    <n v="0"/>
    <n v="52"/>
    <x v="1"/>
    <d v="2023-09-11T00:00:00"/>
    <x v="3"/>
    <n v="0.23636363636363636"/>
  </r>
  <r>
    <s v="ORD-241"/>
    <s v="Patrick Stewart"/>
    <s v="Huntersville"/>
    <x v="8"/>
    <x v="1"/>
    <s v="Sweater"/>
    <x v="142"/>
    <n v="2"/>
    <n v="0.1"/>
    <n v="17"/>
    <x v="0"/>
    <d v="2023-12-09T00:00:00"/>
    <x v="6"/>
    <n v="0.2361111111111111"/>
  </r>
  <r>
    <s v="ORD-242"/>
    <s v="Jonathan Frakes"/>
    <s v="Unknown"/>
    <x v="8"/>
    <x v="2"/>
    <s v="Bed"/>
    <x v="143"/>
    <n v="1"/>
    <n v="0.2"/>
    <n v="170"/>
    <x v="1"/>
    <d v="2023-09-13T00:00:00"/>
    <x v="3"/>
    <n v="0.15178571428571427"/>
  </r>
  <r>
    <s v="ORD-243"/>
    <s v="Levar Burton"/>
    <s v="Chapel Hill"/>
    <x v="8"/>
    <x v="0"/>
    <s v="Camera"/>
    <x v="144"/>
    <n v="1"/>
    <n v="0"/>
    <n v="100"/>
    <x v="0"/>
    <d v="2023-09-14T00:00:00"/>
    <x v="3"/>
    <n v="0.1388888888888889"/>
  </r>
  <r>
    <s v="ORD-244"/>
    <s v="Marina Sirtis"/>
    <s v="Burlington"/>
    <x v="8"/>
    <x v="1"/>
    <s v="Shorts"/>
    <x v="53"/>
    <n v="3"/>
    <n v="0"/>
    <n v="11"/>
    <x v="1"/>
    <d v="2023-09-15T00:00:00"/>
    <x v="3"/>
    <n v="0.26190476190476192"/>
  </r>
  <r>
    <s v="ORD-246"/>
    <s v="Michael Dorn"/>
    <s v="Kannapolis"/>
    <x v="8"/>
    <x v="0"/>
    <s v="Router"/>
    <x v="145"/>
    <n v="2"/>
    <n v="0.1"/>
    <n v="25"/>
    <x v="1"/>
    <d v="2023-09-17T00:00:00"/>
    <x v="3"/>
    <n v="0.27173913043478259"/>
  </r>
  <r>
    <s v="ORD-247"/>
    <s v="Gates Mcfadden"/>
    <s v="Rocky Mount"/>
    <x v="8"/>
    <x v="1"/>
    <s v="Socks"/>
    <x v="1"/>
    <n v="5"/>
    <n v="0"/>
    <n v="11"/>
    <x v="0"/>
    <d v="2023-09-18T00:00:00"/>
    <x v="3"/>
    <n v="0.44"/>
  </r>
  <r>
    <s v="ORD-248"/>
    <s v="Wil Wheaton"/>
    <s v="Mooresville"/>
    <x v="8"/>
    <x v="2"/>
    <s v="Stool"/>
    <x v="39"/>
    <n v="4"/>
    <n v="0"/>
    <n v="17"/>
    <x v="1"/>
    <d v="2023-09-19T00:00:00"/>
    <x v="3"/>
    <n v="0.32692307692307693"/>
  </r>
  <r>
    <s v="ORD-249"/>
    <s v="Colm Meaney"/>
    <s v="Wake Forest"/>
    <x v="8"/>
    <x v="0"/>
    <s v="Keyboard"/>
    <x v="47"/>
    <n v="2"/>
    <n v="0"/>
    <n v="17"/>
    <x v="0"/>
    <d v="2023-09-20T00:00:00"/>
    <x v="3"/>
    <n v="0.27419354838709675"/>
  </r>
  <r>
    <s v="ORD-250"/>
    <s v="Whoopi Goldberg"/>
    <s v="Unknown"/>
    <x v="8"/>
    <x v="1"/>
    <s v="Hat"/>
    <x v="50"/>
    <n v="1"/>
    <n v="0"/>
    <n v="11"/>
    <x v="1"/>
    <d v="2023-09-21T00:00:00"/>
    <x v="3"/>
    <n v="0.34375"/>
  </r>
  <r>
    <s v="ORD-251"/>
    <s v="Avery Brooks"/>
    <s v="Hickory"/>
    <x v="8"/>
    <x v="2"/>
    <s v="Lamp"/>
    <x v="142"/>
    <n v="2"/>
    <n v="0.1"/>
    <n v="17"/>
    <x v="0"/>
    <d v="2023-09-22T00:00:00"/>
    <x v="3"/>
    <n v="0.2361111111111111"/>
  </r>
  <r>
    <s v="ORD-252"/>
    <s v="Rene Auberjonois"/>
    <s v="Holly Springs"/>
    <x v="8"/>
    <x v="0"/>
    <s v="Mouse"/>
    <x v="146"/>
    <n v="3"/>
    <n v="0"/>
    <n v="11"/>
    <x v="1"/>
    <d v="2023-09-23T00:00:00"/>
    <x v="3"/>
    <n v="0.29729729729729731"/>
  </r>
  <r>
    <s v="ORD-253"/>
    <s v="Terry Farrell"/>
    <s v="Seattle"/>
    <x v="10"/>
    <x v="0"/>
    <s v="Laptop"/>
    <x v="147"/>
    <n v="1"/>
    <n v="0.1"/>
    <n v="162"/>
    <x v="0"/>
    <d v="2023-09-24T00:00:00"/>
    <x v="3"/>
    <n v="0.12959999999999999"/>
  </r>
  <r>
    <s v="ORD-254"/>
    <s v="Alexander Siddig"/>
    <s v="spokane"/>
    <x v="10"/>
    <x v="1"/>
    <s v="T-Shirt"/>
    <x v="70"/>
    <n v="2"/>
    <n v="0"/>
    <n v="16"/>
    <x v="1"/>
    <d v="2023-09-25T00:00:00"/>
    <x v="3"/>
    <n v="0.5161290322580645"/>
  </r>
  <r>
    <s v="ORD-256"/>
    <s v="Michael Dorn"/>
    <s v="Tacoma"/>
    <x v="10"/>
    <x v="0"/>
    <s v="Smartphone"/>
    <x v="43"/>
    <n v="1"/>
    <n v="0.05"/>
    <n v="122"/>
    <x v="0"/>
    <d v="2023-09-27T00:00:00"/>
    <x v="3"/>
    <n v="0.13260869565217392"/>
  </r>
  <r>
    <s v="ORD-257"/>
    <s v="Armin Shimerman"/>
    <s v="Vancouver"/>
    <x v="10"/>
    <x v="1"/>
    <s v="Jeans"/>
    <x v="83"/>
    <n v="3"/>
    <n v="0"/>
    <n v="27"/>
    <x v="1"/>
    <d v="2023-09-28T00:00:00"/>
    <x v="3"/>
    <n v="0.421875"/>
  </r>
  <r>
    <s v="ORD-258"/>
    <s v="Cirroc Lofton"/>
    <s v="Bellevue"/>
    <x v="10"/>
    <x v="2"/>
    <s v="Chair"/>
    <x v="148"/>
    <n v="4"/>
    <n v="0.1"/>
    <n v="30"/>
    <x v="1"/>
    <d v="2023-09-29T00:00:00"/>
    <x v="3"/>
    <n v="0.1744186046511628"/>
  </r>
  <r>
    <s v="ORD-259"/>
    <s v="Kate Mulgrew"/>
    <s v="Kent"/>
    <x v="10"/>
    <x v="0"/>
    <s v="Tablet"/>
    <x v="149"/>
    <n v="2"/>
    <n v="0"/>
    <n v="54"/>
    <x v="0"/>
    <d v="2023-09-30T00:00:00"/>
    <x v="3"/>
    <n v="0.16770186335403728"/>
  </r>
  <r>
    <s v="ORD-260"/>
    <s v="Robert Beltran"/>
    <s v="Unknown"/>
    <x v="10"/>
    <x v="1"/>
    <s v="Dress"/>
    <x v="145"/>
    <n v="1"/>
    <n v="0.2"/>
    <n v="27"/>
    <x v="1"/>
    <d v="2023-01-10T00:00:00"/>
    <x v="0"/>
    <n v="0.29347826086956524"/>
  </r>
  <r>
    <s v="ORD-261"/>
    <s v="Roxann Dawson"/>
    <s v="Everett"/>
    <x v="10"/>
    <x v="2"/>
    <s v="Sofa"/>
    <x v="48"/>
    <n v="1"/>
    <n v="0.15"/>
    <n v="122"/>
    <x v="0"/>
    <d v="2023-10-02T00:00:00"/>
    <x v="11"/>
    <n v="0.11960784313725491"/>
  </r>
  <r>
    <s v="ORD-264"/>
    <s v="Robert Picardo"/>
    <s v="Federal Way"/>
    <x v="10"/>
    <x v="2"/>
    <s v="Table"/>
    <x v="150"/>
    <n v="1"/>
    <n v="0.1"/>
    <n v="54"/>
    <x v="1"/>
    <d v="2023-10-05T00:00:00"/>
    <x v="11"/>
    <n v="0.14516129032258066"/>
  </r>
  <r>
    <s v="ORD-265"/>
    <s v="Tim Russ"/>
    <s v="Yakima"/>
    <x v="10"/>
    <x v="0"/>
    <s v="Monitor"/>
    <x v="151"/>
    <n v="2"/>
    <n v="0.05"/>
    <n v="44"/>
    <x v="0"/>
    <d v="2023-10-06T00:00:00"/>
    <x v="11"/>
    <n v="0.16176470588235295"/>
  </r>
  <r>
    <s v="ORD-266"/>
    <s v="Garrett Wang"/>
    <s v="Bellingham"/>
    <x v="10"/>
    <x v="1"/>
    <s v="Jacket"/>
    <x v="148"/>
    <n v="1"/>
    <n v="0"/>
    <n v="39"/>
    <x v="1"/>
    <d v="2023-07-10T00:00:00"/>
    <x v="10"/>
    <n v="0.22674418604651161"/>
  </r>
  <r>
    <s v="ORD-267"/>
    <s v="Jeri Ryan"/>
    <s v="Kirkland"/>
    <x v="10"/>
    <x v="2"/>
    <s v="Bookshelf"/>
    <x v="152"/>
    <n v="1"/>
    <n v="0.1"/>
    <n v="34"/>
    <x v="0"/>
    <d v="2023-08-10T00:00:00"/>
    <x v="8"/>
    <n v="0.15315315315315314"/>
  </r>
  <r>
    <s v="ORD-268"/>
    <s v="Scott Bakula"/>
    <s v="Kennewick"/>
    <x v="10"/>
    <x v="0"/>
    <s v="Smartwatch"/>
    <x v="152"/>
    <n v="1"/>
    <n v="0"/>
    <n v="54"/>
    <x v="1"/>
    <d v="2023-10-09T00:00:00"/>
    <x v="11"/>
    <n v="0.24324324324324326"/>
  </r>
  <r>
    <s v="ORD-269"/>
    <s v="Jolene Blalock"/>
    <s v="Auburn"/>
    <x v="10"/>
    <x v="1"/>
    <s v="Sweater"/>
    <x v="153"/>
    <n v="2"/>
    <n v="0.1"/>
    <n v="18"/>
    <x v="0"/>
    <d v="2023-10-10T00:00:00"/>
    <x v="11"/>
    <n v="0.24324324324324326"/>
  </r>
  <r>
    <s v="ORD-270"/>
    <s v="Connor Trinneer"/>
    <s v="Unknown"/>
    <x v="10"/>
    <x v="2"/>
    <s v="Bed"/>
    <x v="154"/>
    <n v="1"/>
    <n v="0.2"/>
    <n v="172"/>
    <x v="1"/>
    <d v="2023-11-10T00:00:00"/>
    <x v="4"/>
    <n v="0.15087719298245614"/>
  </r>
  <r>
    <s v="ORD-271"/>
    <s v="Dominic Keating"/>
    <s v="Pasco"/>
    <x v="10"/>
    <x v="0"/>
    <s v="Camera"/>
    <x v="155"/>
    <n v="1"/>
    <n v="0"/>
    <n v="102"/>
    <x v="0"/>
    <d v="2023-10-12T00:00:00"/>
    <x v="11"/>
    <n v="0.13783783783783785"/>
  </r>
  <r>
    <s v="ORD-272"/>
    <s v="Linda Park"/>
    <s v="Marysville"/>
    <x v="10"/>
    <x v="1"/>
    <s v="Shorts"/>
    <x v="89"/>
    <n v="3"/>
    <n v="0"/>
    <n v="12"/>
    <x v="1"/>
    <d v="2023-10-13T00:00:00"/>
    <x v="11"/>
    <n v="0.27272727272727271"/>
  </r>
  <r>
    <s v="ORD-274"/>
    <s v="John Billingsley"/>
    <s v="Redmond"/>
    <x v="10"/>
    <x v="0"/>
    <s v="Router"/>
    <x v="156"/>
    <n v="2"/>
    <n v="0.1"/>
    <n v="27"/>
    <x v="1"/>
    <d v="2023-10-15T00:00:00"/>
    <x v="11"/>
    <n v="0.28723404255319152"/>
  </r>
  <r>
    <s v="ORD-275"/>
    <s v="Jason Isaacs"/>
    <s v="Shoreline"/>
    <x v="10"/>
    <x v="1"/>
    <s v="Socks"/>
    <x v="92"/>
    <n v="5"/>
    <n v="0"/>
    <n v="12"/>
    <x v="0"/>
    <m/>
    <x v="12"/>
    <n v="0.44444444444444442"/>
  </r>
  <r>
    <s v="ORD-276"/>
    <s v="Sonequa Martin-Green"/>
    <s v="Richland"/>
    <x v="10"/>
    <x v="2"/>
    <s v="Stool"/>
    <x v="75"/>
    <n v="4"/>
    <n v="0"/>
    <n v="18"/>
    <x v="1"/>
    <d v="2023-10-17T00:00:00"/>
    <x v="11"/>
    <n v="0.33333333333333331"/>
  </r>
  <r>
    <s v="ORD-277"/>
    <s v="Doug Jones"/>
    <s v="Sammamish"/>
    <x v="10"/>
    <x v="0"/>
    <s v="Keyboard"/>
    <x v="83"/>
    <n v="2"/>
    <n v="0"/>
    <n v="18"/>
    <x v="0"/>
    <d v="2023-10-18T00:00:00"/>
    <x v="11"/>
    <n v="0.28125"/>
  </r>
  <r>
    <s v="ORD-278"/>
    <s v="Anthony Rapp"/>
    <s v="Unknown"/>
    <x v="10"/>
    <x v="1"/>
    <s v="Hat"/>
    <x v="86"/>
    <n v="1"/>
    <n v="0"/>
    <n v="12"/>
    <x v="1"/>
    <m/>
    <x v="12"/>
    <n v="0.35294117647058826"/>
  </r>
  <r>
    <s v="ORD-279"/>
    <s v="Mary Wiseman"/>
    <s v="Burien"/>
    <x v="10"/>
    <x v="2"/>
    <s v="Lamp"/>
    <x v="153"/>
    <n v="2"/>
    <n v="0.1"/>
    <n v="18"/>
    <x v="0"/>
    <d v="2023-10-20T00:00:00"/>
    <x v="11"/>
    <n v="0.24324324324324326"/>
  </r>
  <r>
    <s v="ORD-280"/>
    <s v="Wilson Cruz"/>
    <s v="Olympia"/>
    <x v="10"/>
    <x v="0"/>
    <s v="Mouse"/>
    <x v="157"/>
    <n v="3"/>
    <n v="0"/>
    <n v="12"/>
    <x v="1"/>
    <m/>
    <x v="12"/>
    <n v="0.30769230769230771"/>
  </r>
  <r>
    <s v="ORD-281"/>
    <s v="Anson Mount"/>
    <s v="Denver"/>
    <x v="11"/>
    <x v="0"/>
    <s v="Laptop"/>
    <x v="158"/>
    <n v="1"/>
    <n v="0.1"/>
    <n v="164"/>
    <x v="0"/>
    <m/>
    <x v="12"/>
    <n v="0.13015873015873017"/>
  </r>
  <r>
    <s v="ORD-282"/>
    <s v="Ethan Peck"/>
    <s v="colorado springs"/>
    <x v="11"/>
    <x v="1"/>
    <s v="T-Shirt"/>
    <x v="50"/>
    <n v="2"/>
    <n v="0"/>
    <n v="17"/>
    <x v="1"/>
    <d v="2023-10-23T00:00:00"/>
    <x v="11"/>
    <n v="0.53125"/>
  </r>
  <r>
    <s v="ORD-284"/>
    <s v="Jess Bush"/>
    <s v="Aurora"/>
    <x v="11"/>
    <x v="0"/>
    <s v="Smartphone"/>
    <x v="79"/>
    <n v="1"/>
    <n v="0.05"/>
    <n v="124"/>
    <x v="0"/>
    <m/>
    <x v="12"/>
    <n v="0.13191489361702127"/>
  </r>
  <r>
    <s v="ORD-285"/>
    <s v="Christina Chong"/>
    <s v="Fort Collins"/>
    <x v="11"/>
    <x v="1"/>
    <s v="Jeans"/>
    <x v="101"/>
    <n v="3"/>
    <n v="0"/>
    <n v="29"/>
    <x v="1"/>
    <m/>
    <x v="12"/>
    <n v="0.43939393939393939"/>
  </r>
  <r>
    <s v="ORD-286"/>
    <s v="Celia Rose Gooding"/>
    <s v="Lakewood"/>
    <x v="11"/>
    <x v="2"/>
    <s v="Chair"/>
    <x v="159"/>
    <n v="4"/>
    <n v="0.1"/>
    <n v="32"/>
    <x v="1"/>
    <d v="2023-10-27T00:00:00"/>
    <x v="11"/>
    <n v="0.18390804597701149"/>
  </r>
  <r>
    <s v="ORD-287"/>
    <s v="Melissa Navia"/>
    <s v="Thornton"/>
    <x v="11"/>
    <x v="0"/>
    <s v="Tablet"/>
    <x v="160"/>
    <n v="2"/>
    <n v="0"/>
    <n v="56"/>
    <x v="0"/>
    <m/>
    <x v="12"/>
    <n v="0.1728395061728395"/>
  </r>
  <r>
    <s v="ORD-288"/>
    <s v="Babs Olusanmokun"/>
    <s v="Unknown"/>
    <x v="11"/>
    <x v="1"/>
    <s v="Dress"/>
    <x v="156"/>
    <n v="1"/>
    <n v="0.2"/>
    <n v="29"/>
    <x v="1"/>
    <m/>
    <x v="12"/>
    <n v="0.30851063829787234"/>
  </r>
  <r>
    <s v="ORD-289"/>
    <s v="Bruce Campbell"/>
    <s v="Arvada"/>
    <x v="11"/>
    <x v="2"/>
    <s v="Sofa"/>
    <x v="84"/>
    <n v="1"/>
    <n v="0.15"/>
    <n v="124"/>
    <x v="0"/>
    <d v="2023-10-30T00:00:00"/>
    <x v="11"/>
    <n v="0.11923076923076924"/>
  </r>
  <r>
    <s v="ORD-292"/>
    <s v="Betsy Baker"/>
    <s v="Centennial"/>
    <x v="11"/>
    <x v="2"/>
    <s v="Table"/>
    <x v="161"/>
    <n v="1"/>
    <n v="0.1"/>
    <n v="56"/>
    <x v="1"/>
    <d v="2023-11-02T00:00:00"/>
    <x v="4"/>
    <n v="0.1497326203208556"/>
  </r>
  <r>
    <s v="ORD-293"/>
    <s v="Theresa Tilly"/>
    <s v="Boulder"/>
    <x v="11"/>
    <x v="0"/>
    <s v="Monitor"/>
    <x v="162"/>
    <n v="2"/>
    <n v="0.05"/>
    <n v="46"/>
    <x v="0"/>
    <d v="2023-11-03T00:00:00"/>
    <x v="4"/>
    <n v="0.16788321167883211"/>
  </r>
  <r>
    <s v="ORD-294"/>
    <s v="Sarah Michelle Gellar"/>
    <s v="Greeley"/>
    <x v="11"/>
    <x v="1"/>
    <s v="Jacket"/>
    <x v="159"/>
    <n v="1"/>
    <n v="0"/>
    <n v="41"/>
    <x v="1"/>
    <d v="2023-04-11T00:00:00"/>
    <x v="7"/>
    <n v="0.23563218390804597"/>
  </r>
  <r>
    <s v="ORD-295"/>
    <s v="Nicholas Brendon"/>
    <s v="Longmont"/>
    <x v="11"/>
    <x v="2"/>
    <s v="Bookshelf"/>
    <x v="163"/>
    <n v="1"/>
    <n v="0.1"/>
    <n v="36"/>
    <x v="0"/>
    <d v="2023-05-11T00:00:00"/>
    <x v="9"/>
    <n v="0.16071428571428573"/>
  </r>
  <r>
    <s v="ORD-296"/>
    <s v="Alyson Hannigan"/>
    <s v="Loveland"/>
    <x v="11"/>
    <x v="0"/>
    <s v="Smartwatch"/>
    <x v="163"/>
    <n v="1"/>
    <n v="0"/>
    <n v="56"/>
    <x v="1"/>
    <d v="2023-11-06T00:00:00"/>
    <x v="4"/>
    <n v="0.25"/>
  </r>
  <r>
    <s v="ORD-297"/>
    <s v="Charisma Carpenter"/>
    <s v="Grand Junction"/>
    <x v="11"/>
    <x v="1"/>
    <s v="Sweater"/>
    <x v="62"/>
    <n v="2"/>
    <n v="0.1"/>
    <n v="19"/>
    <x v="0"/>
    <d v="2023-07-11T00:00:00"/>
    <x v="10"/>
    <n v="0.25"/>
  </r>
  <r>
    <s v="ORD-298"/>
    <s v="Anthony Head"/>
    <s v="Unknown"/>
    <x v="11"/>
    <x v="2"/>
    <s v="Bed"/>
    <x v="164"/>
    <n v="1"/>
    <n v="0.2"/>
    <n v="174"/>
    <x v="1"/>
    <d v="2023-08-11T00:00:00"/>
    <x v="8"/>
    <n v="0.15"/>
  </r>
  <r>
    <s v="ORD-299"/>
    <s v="David Boreanaz"/>
    <s v="Broomfield"/>
    <x v="11"/>
    <x v="0"/>
    <s v="Camera"/>
    <x v="165"/>
    <n v="1"/>
    <n v="0"/>
    <n v="104"/>
    <x v="0"/>
    <d v="2023-11-09T00:00:00"/>
    <x v="4"/>
    <n v="0.1368421052631579"/>
  </r>
  <r>
    <s v="ORD-300"/>
    <s v="Seth Green"/>
    <s v="Castle Rock"/>
    <x v="11"/>
    <x v="1"/>
    <s v="Shorts"/>
    <x v="107"/>
    <n v="3"/>
    <n v="0"/>
    <n v="13"/>
    <x v="1"/>
    <d v="2023-11-10T00:00:00"/>
    <x v="4"/>
    <n v="0.28260869565217389"/>
  </r>
  <r>
    <s v="ORD-302"/>
    <s v="Marc Blucas"/>
    <s v="Parker"/>
    <x v="11"/>
    <x v="0"/>
    <s v="Router"/>
    <x v="166"/>
    <n v="2"/>
    <n v="0.1"/>
    <n v="29"/>
    <x v="1"/>
    <d v="2023-11-12T00:00:00"/>
    <x v="4"/>
    <n v="0.30208333333333331"/>
  </r>
  <r>
    <s v="ORD-303"/>
    <s v="Emma Caulfield"/>
    <s v="Littleton"/>
    <x v="11"/>
    <x v="1"/>
    <s v="Socks"/>
    <x v="90"/>
    <n v="5"/>
    <n v="0"/>
    <n v="13"/>
    <x v="0"/>
    <m/>
    <x v="12"/>
    <n v="0.44827586206896552"/>
  </r>
  <r>
    <s v="ORD-304"/>
    <s v="Michelle Trachtenberg"/>
    <s v="Northglenn"/>
    <x v="11"/>
    <x v="2"/>
    <s v="Stool"/>
    <x v="94"/>
    <n v="4"/>
    <n v="0"/>
    <n v="19"/>
    <x v="1"/>
    <d v="2023-11-14T00:00:00"/>
    <x v="4"/>
    <n v="0.3392857142857143"/>
  </r>
  <r>
    <s v="ORD-305"/>
    <s v="Amber Benson"/>
    <s v="Brighton"/>
    <x v="11"/>
    <x v="0"/>
    <s v="Keyboard"/>
    <x v="101"/>
    <n v="2"/>
    <n v="0"/>
    <n v="19"/>
    <x v="0"/>
    <d v="2023-11-15T00:00:00"/>
    <x v="4"/>
    <n v="0.2878787878787879"/>
  </r>
  <r>
    <s v="ORD-306"/>
    <s v="Eliza Dushku"/>
    <s v="Unknown"/>
    <x v="11"/>
    <x v="1"/>
    <s v="Hat"/>
    <x v="104"/>
    <n v="1"/>
    <n v="0"/>
    <n v="13"/>
    <x v="1"/>
    <m/>
    <x v="12"/>
    <n v="0.3611111111111111"/>
  </r>
  <r>
    <s v="ORD-307"/>
    <s v="Gillian Anderson"/>
    <s v="Security-Widefield"/>
    <x v="11"/>
    <x v="2"/>
    <s v="Lamp"/>
    <x v="62"/>
    <n v="2"/>
    <n v="0.1"/>
    <n v="19"/>
    <x v="0"/>
    <d v="2023-11-17T00:00:00"/>
    <x v="4"/>
    <n v="0.25"/>
  </r>
  <r>
    <s v="ORD-308"/>
    <s v="David Duchovny"/>
    <s v="Ken Caryl"/>
    <x v="11"/>
    <x v="0"/>
    <s v="Mouse"/>
    <x v="72"/>
    <n v="3"/>
    <n v="0"/>
    <n v="13"/>
    <x v="1"/>
    <m/>
    <x v="12"/>
    <n v="0.31707317073170732"/>
  </r>
  <r>
    <s v="ORD-309"/>
    <s v="Mitch Pileggi"/>
    <s v="Washington"/>
    <x v="18"/>
    <x v="0"/>
    <s v="Laptop"/>
    <x v="167"/>
    <n v="1"/>
    <n v="0.1"/>
    <n v="166"/>
    <x v="0"/>
    <m/>
    <x v="12"/>
    <n v="0.13070866141732285"/>
  </r>
  <r>
    <s v="ORD-310"/>
    <s v="William B. Davis"/>
    <s v="washington"/>
    <x v="18"/>
    <x v="1"/>
    <s v="T-Shirt"/>
    <x v="123"/>
    <n v="2"/>
    <n v="0"/>
    <n v="18"/>
    <x v="1"/>
    <d v="2023-11-20T00:00:00"/>
    <x v="4"/>
    <n v="0.54545454545454541"/>
  </r>
  <r>
    <s v="ORD-312"/>
    <s v="Bruce Harwood"/>
    <s v="Washington"/>
    <x v="18"/>
    <x v="0"/>
    <s v="Smartphone"/>
    <x v="97"/>
    <n v="1"/>
    <n v="0.05"/>
    <n v="126"/>
    <x v="0"/>
    <m/>
    <x v="12"/>
    <n v="0.13125000000000001"/>
  </r>
  <r>
    <s v="ORD-313"/>
    <s v="Dean Haglund"/>
    <s v="Washington"/>
    <x v="18"/>
    <x v="1"/>
    <s v="Jeans"/>
    <x v="117"/>
    <n v="3"/>
    <n v="0"/>
    <n v="31"/>
    <x v="1"/>
    <m/>
    <x v="12"/>
    <n v="0.45588235294117646"/>
  </r>
  <r>
    <s v="ORD-314"/>
    <s v="Jerry Seinfeld"/>
    <s v="Washington"/>
    <x v="18"/>
    <x v="2"/>
    <s v="Chair"/>
    <x v="168"/>
    <n v="4"/>
    <n v="0.1"/>
    <n v="34"/>
    <x v="1"/>
    <d v="2023-11-24T00:00:00"/>
    <x v="4"/>
    <n v="0.19318181818181818"/>
  </r>
  <r>
    <s v="ORD-315"/>
    <s v="Julia Louis-Dreyfus"/>
    <s v="Washington"/>
    <x v="18"/>
    <x v="0"/>
    <s v="Tablet"/>
    <x v="169"/>
    <n v="2"/>
    <n v="0"/>
    <n v="58"/>
    <x v="0"/>
    <m/>
    <x v="12"/>
    <n v="0.17791411042944785"/>
  </r>
  <r>
    <s v="ORD-316"/>
    <s v="Michael Richards"/>
    <s v="Unknown"/>
    <x v="18"/>
    <x v="1"/>
    <s v="Dress"/>
    <x v="166"/>
    <n v="1"/>
    <n v="0.2"/>
    <n v="31"/>
    <x v="1"/>
    <m/>
    <x v="12"/>
    <n v="0.32291666666666669"/>
  </r>
  <r>
    <s v="ORD-317"/>
    <s v="Jason Alexander"/>
    <s v="Washington"/>
    <x v="18"/>
    <x v="2"/>
    <s v="Sofa"/>
    <x v="102"/>
    <n v="1"/>
    <n v="0.15"/>
    <n v="126"/>
    <x v="0"/>
    <d v="2023-11-27T00:00:00"/>
    <x v="4"/>
    <n v="0.11886792452830189"/>
  </r>
  <r>
    <s v="ORD-320"/>
    <s v="Rainn Wilson"/>
    <s v="Washington"/>
    <x v="18"/>
    <x v="2"/>
    <s v="Table"/>
    <x v="170"/>
    <n v="1"/>
    <n v="0.1"/>
    <n v="58"/>
    <x v="1"/>
    <d v="2023-11-30T00:00:00"/>
    <x v="4"/>
    <n v="0.15425531914893617"/>
  </r>
  <r>
    <s v="ORD-321"/>
    <s v="John Krasinski"/>
    <s v="Washington"/>
    <x v="18"/>
    <x v="0"/>
    <s v="Monitor"/>
    <x v="171"/>
    <n v="2"/>
    <n v="0.05"/>
    <n v="48"/>
    <x v="0"/>
    <d v="2023-12-01T00:00:00"/>
    <x v="6"/>
    <n v="0.17391304347826086"/>
  </r>
  <r>
    <s v="ORD-322"/>
    <s v="Jenna Fischer"/>
    <s v="Washington"/>
    <x v="18"/>
    <x v="1"/>
    <s v="Jacket"/>
    <x v="168"/>
    <n v="1"/>
    <n v="0"/>
    <n v="43"/>
    <x v="1"/>
    <d v="2023-02-12T00:00:00"/>
    <x v="1"/>
    <n v="0.24431818181818182"/>
  </r>
  <r>
    <s v="ORD-323"/>
    <s v="B.J. Novak"/>
    <s v="Washington"/>
    <x v="18"/>
    <x v="2"/>
    <s v="Bookshelf"/>
    <x v="172"/>
    <n v="1"/>
    <n v="0.1"/>
    <n v="38"/>
    <x v="0"/>
    <d v="2023-03-12T00:00:00"/>
    <x v="5"/>
    <n v="0.16814159292035399"/>
  </r>
  <r>
    <s v="ORD-324"/>
    <s v="Ed Helms"/>
    <s v="Washington"/>
    <x v="18"/>
    <x v="0"/>
    <s v="Smartwatch"/>
    <x v="172"/>
    <n v="1"/>
    <n v="0"/>
    <n v="58"/>
    <x v="1"/>
    <d v="2023-12-04T00:00:00"/>
    <x v="6"/>
    <n v="0.25663716814159293"/>
  </r>
  <r>
    <s v="ORD-325"/>
    <s v="James Spader"/>
    <s v="Washington"/>
    <x v="18"/>
    <x v="1"/>
    <s v="Sweater"/>
    <x v="42"/>
    <n v="2"/>
    <n v="0.1"/>
    <n v="20"/>
    <x v="0"/>
    <d v="2023-05-12T00:00:00"/>
    <x v="9"/>
    <n v="0.25641025641025639"/>
  </r>
  <r>
    <s v="ORD-326"/>
    <s v="Matthew Perry"/>
    <s v="Unknown"/>
    <x v="18"/>
    <x v="2"/>
    <s v="Bed"/>
    <x v="56"/>
    <n v="1"/>
    <n v="0.2"/>
    <n v="176"/>
    <x v="1"/>
    <d v="2023-06-12T00:00:00"/>
    <x v="2"/>
    <n v="0.14915254237288136"/>
  </r>
  <r>
    <s v="ORD-327"/>
    <s v="Courteney Cox"/>
    <s v="Washington"/>
    <x v="18"/>
    <x v="0"/>
    <s v="Camera"/>
    <x v="173"/>
    <n v="1"/>
    <n v="0"/>
    <n v="106"/>
    <x v="0"/>
    <d v="2023-12-07T00:00:00"/>
    <x v="6"/>
    <n v="0.13589743589743589"/>
  </r>
  <r>
    <s v="ORD-328"/>
    <s v="Lisa Kudrow"/>
    <s v="Washington"/>
    <x v="18"/>
    <x v="1"/>
    <s v="Shorts"/>
    <x v="122"/>
    <n v="3"/>
    <n v="0"/>
    <n v="14"/>
    <x v="1"/>
    <d v="2023-12-08T00:00:00"/>
    <x v="6"/>
    <n v="0.29166666666666669"/>
  </r>
  <r>
    <s v="ORD-330"/>
    <s v="David Schwimmer"/>
    <s v="Washington"/>
    <x v="18"/>
    <x v="0"/>
    <s v="Router"/>
    <x v="174"/>
    <n v="2"/>
    <n v="0.1"/>
    <n v="31"/>
    <x v="1"/>
    <d v="2023-12-10T00:00:00"/>
    <x v="6"/>
    <n v="0.31632653061224492"/>
  </r>
  <r>
    <s v="ORD-331"/>
    <s v="Kiefer Sutherland"/>
    <s v="Washington"/>
    <x v="18"/>
    <x v="1"/>
    <s v="Socks"/>
    <x v="70"/>
    <n v="5"/>
    <n v="0"/>
    <n v="14"/>
    <x v="0"/>
    <d v="2023-11-12T00:00:00"/>
    <x v="4"/>
    <n v="0.45161290322580644"/>
  </r>
  <r>
    <s v="ORD-332"/>
    <s v="Mary Lynn Rajskub"/>
    <s v="Washington"/>
    <x v="18"/>
    <x v="2"/>
    <s v="Stool"/>
    <x v="110"/>
    <n v="4"/>
    <n v="0"/>
    <n v="20"/>
    <x v="1"/>
    <d v="2023-12-12T00:00:00"/>
    <x v="6"/>
    <n v="0.34482758620689657"/>
  </r>
  <r>
    <s v="ORD-333"/>
    <s v="Carlos Bernard"/>
    <s v="Washington"/>
    <x v="18"/>
    <x v="0"/>
    <s v="Keyboard"/>
    <x v="117"/>
    <n v="2"/>
    <n v="0"/>
    <n v="20"/>
    <x v="0"/>
    <d v="2023-12-13T00:00:00"/>
    <x v="6"/>
    <n v="0.29411764705882354"/>
  </r>
  <r>
    <s v="ORD-334"/>
    <s v="Dennis Haysbert"/>
    <s v="Unknown"/>
    <x v="18"/>
    <x v="1"/>
    <s v="Hat"/>
    <x v="120"/>
    <n v="1"/>
    <n v="0"/>
    <n v="14"/>
    <x v="1"/>
    <m/>
    <x v="12"/>
    <n v="0.36842105263157893"/>
  </r>
  <r>
    <s v="ORD-335"/>
    <s v="Elisha Cuthbert"/>
    <s v="Washington"/>
    <x v="18"/>
    <x v="2"/>
    <s v="Lamp"/>
    <x v="42"/>
    <n v="2"/>
    <n v="0.1"/>
    <n v="20"/>
    <x v="0"/>
    <d v="2023-12-15T00:00:00"/>
    <x v="6"/>
    <n v="0.25641025641025639"/>
  </r>
  <r>
    <s v="ORD-336"/>
    <s v="Reiko Aylesworth"/>
    <s v="Washington"/>
    <x v="18"/>
    <x v="0"/>
    <s v="Mouse"/>
    <x v="175"/>
    <n v="3"/>
    <n v="0"/>
    <n v="14"/>
    <x v="1"/>
    <m/>
    <x v="12"/>
    <n v="0.32558139534883723"/>
  </r>
  <r>
    <s v="ORD-337"/>
    <s v="Hugh Laurie"/>
    <s v="Boston"/>
    <x v="12"/>
    <x v="0"/>
    <s v="Laptop"/>
    <x v="176"/>
    <n v="1"/>
    <n v="0.1"/>
    <n v="168"/>
    <x v="0"/>
    <m/>
    <x v="12"/>
    <n v="0.13125000000000001"/>
  </r>
  <r>
    <s v="ORD-338"/>
    <s v="Lisa Edelstein"/>
    <s v="worcester"/>
    <x v="12"/>
    <x v="1"/>
    <s v="T-Shirt"/>
    <x v="86"/>
    <n v="2"/>
    <n v="0"/>
    <n v="19"/>
    <x v="1"/>
    <d v="2023-12-18T00:00:00"/>
    <x v="6"/>
    <n v="0.55882352941176472"/>
  </r>
  <r>
    <s v="ORD-340"/>
    <s v="Robert Sean Leonard"/>
    <s v="Springfield"/>
    <x v="12"/>
    <x v="0"/>
    <s v="Smartphone"/>
    <x v="113"/>
    <n v="1"/>
    <n v="0.05"/>
    <n v="128"/>
    <x v="0"/>
    <m/>
    <x v="12"/>
    <n v="0.1306122448979592"/>
  </r>
  <r>
    <s v="ORD-341"/>
    <s v="Jesse Spencer"/>
    <s v="Cambridge"/>
    <x v="12"/>
    <x v="1"/>
    <s v="Jeans"/>
    <x v="132"/>
    <n v="3"/>
    <n v="0"/>
    <n v="33"/>
    <x v="1"/>
    <m/>
    <x v="12"/>
    <n v="0.47142857142857142"/>
  </r>
  <r>
    <s v="ORD-342"/>
    <s v="Jennifer Morrison"/>
    <s v="Lowell"/>
    <x v="12"/>
    <x v="2"/>
    <s v="Chair"/>
    <x v="177"/>
    <n v="4"/>
    <n v="0.1"/>
    <n v="36"/>
    <x v="1"/>
    <d v="2023-12-22T00:00:00"/>
    <x v="6"/>
    <n v="0.20224719101123595"/>
  </r>
  <r>
    <s v="ORD-343"/>
    <s v="Peter Jacobson"/>
    <s v="Brockton"/>
    <x v="12"/>
    <x v="0"/>
    <s v="Tablet"/>
    <x v="178"/>
    <n v="2"/>
    <n v="0"/>
    <n v="60"/>
    <x v="0"/>
    <m/>
    <x v="12"/>
    <n v="0.18292682926829268"/>
  </r>
  <r>
    <s v="ORD-344"/>
    <s v="Olivia Wilde"/>
    <s v="Unknown"/>
    <x v="12"/>
    <x v="1"/>
    <s v="Dress"/>
    <x v="174"/>
    <n v="1"/>
    <n v="0.2"/>
    <n v="33"/>
    <x v="1"/>
    <m/>
    <x v="12"/>
    <n v="0.33673469387755101"/>
  </r>
  <r>
    <s v="ORD-345"/>
    <s v="Kal Penn"/>
    <s v="New Bedford"/>
    <x v="12"/>
    <x v="2"/>
    <s v="Sofa"/>
    <x v="118"/>
    <n v="1"/>
    <n v="0.15"/>
    <n v="128"/>
    <x v="0"/>
    <d v="2023-12-25T00:00:00"/>
    <x v="6"/>
    <n v="0.11851851851851852"/>
  </r>
  <r>
    <s v="ORD-348"/>
    <s v="Charlyne Yi"/>
    <s v="Fall River"/>
    <x v="12"/>
    <x v="2"/>
    <s v="Table"/>
    <x v="179"/>
    <n v="1"/>
    <n v="0.1"/>
    <n v="60"/>
    <x v="1"/>
    <d v="2023-12-28T00:00:00"/>
    <x v="6"/>
    <n v="0.15873015873015872"/>
  </r>
  <r>
    <s v="ORD-349"/>
    <s v="Patrick Dempsey"/>
    <s v="Newton"/>
    <x v="12"/>
    <x v="0"/>
    <s v="Monitor"/>
    <x v="180"/>
    <n v="2"/>
    <n v="0.05"/>
    <n v="50"/>
    <x v="0"/>
    <d v="2023-12-29T00:00:00"/>
    <x v="6"/>
    <n v="0.17985611510791366"/>
  </r>
  <r>
    <s v="ORD-350"/>
    <s v="Ellen Pompeo"/>
    <s v="Somerville"/>
    <x v="12"/>
    <x v="1"/>
    <s v="Jacket"/>
    <x v="177"/>
    <n v="1"/>
    <n v="0"/>
    <n v="45"/>
    <x v="1"/>
    <m/>
    <x v="12"/>
    <n v="0.25280898876404495"/>
  </r>
  <r>
    <s v="ORD-351"/>
    <s v="Sandra Oh"/>
    <s v="Lawrence"/>
    <x v="12"/>
    <x v="2"/>
    <s v="Bookshelf"/>
    <x v="181"/>
    <n v="1"/>
    <n v="0.1"/>
    <n v="40"/>
    <x v="0"/>
    <m/>
    <x v="12"/>
    <n v="0.17543859649122806"/>
  </r>
  <r>
    <s v="ORD-352"/>
    <s v="Justin Chambers"/>
    <s v="Waltham"/>
    <x v="12"/>
    <x v="0"/>
    <s v="Smartwatch"/>
    <x v="181"/>
    <n v="1"/>
    <n v="0"/>
    <n v="60"/>
    <x v="1"/>
    <d v="2024-01-01T00:00:00"/>
    <x v="13"/>
    <n v="0.26315789473684209"/>
  </r>
  <r>
    <s v="ORD-353"/>
    <s v="Chandra Wilson"/>
    <s v="Haverhill"/>
    <x v="12"/>
    <x v="1"/>
    <s v="Sweater"/>
    <x v="15"/>
    <n v="2"/>
    <n v="0.1"/>
    <n v="21"/>
    <x v="0"/>
    <d v="2024-02-01T00:00:00"/>
    <x v="14"/>
    <n v="0.26250000000000001"/>
  </r>
  <r>
    <s v="ORD-354"/>
    <s v="James Pickens Jr."/>
    <s v="Unknown"/>
    <x v="12"/>
    <x v="2"/>
    <s v="Bed"/>
    <x v="0"/>
    <n v="1"/>
    <n v="0.2"/>
    <n v="178"/>
    <x v="1"/>
    <d v="2024-03-01T00:00:00"/>
    <x v="15"/>
    <n v="0.14833333333333334"/>
  </r>
  <r>
    <s v="ORD-355"/>
    <s v="Sara Ramirez"/>
    <s v="Malden"/>
    <x v="12"/>
    <x v="0"/>
    <s v="Camera"/>
    <x v="2"/>
    <n v="1"/>
    <n v="0"/>
    <n v="108"/>
    <x v="0"/>
    <d v="2024-01-04T00:00:00"/>
    <x v="13"/>
    <n v="0.13500000000000001"/>
  </r>
  <r>
    <s v="ORD-356"/>
    <s v="Eric Dane"/>
    <s v="Medford"/>
    <x v="12"/>
    <x v="1"/>
    <s v="Shorts"/>
    <x v="3"/>
    <n v="3"/>
    <n v="0"/>
    <n v="15"/>
    <x v="1"/>
    <d v="2024-01-05T00:00:00"/>
    <x v="13"/>
    <n v="0.3"/>
  </r>
  <r>
    <s v="ORD-358"/>
    <s v="Kevin Mckidd"/>
    <s v="Chicopee"/>
    <x v="12"/>
    <x v="0"/>
    <s v="Router"/>
    <x v="182"/>
    <n v="2"/>
    <n v="0.1"/>
    <n v="33"/>
    <x v="1"/>
    <d v="2024-01-07T00:00:00"/>
    <x v="13"/>
    <n v="0.33"/>
  </r>
  <r>
    <s v="ORD-359"/>
    <s v="Jessica Capshaw"/>
    <s v="Weymouth"/>
    <x v="12"/>
    <x v="1"/>
    <s v="Socks"/>
    <x v="123"/>
    <n v="5"/>
    <n v="0"/>
    <n v="15"/>
    <x v="0"/>
    <d v="2024-08-01T00:00:00"/>
    <x v="16"/>
    <n v="0.45454545454545453"/>
  </r>
  <r>
    <s v="ORD-360"/>
    <s v="Sarah Drew"/>
    <s v="Revere"/>
    <x v="12"/>
    <x v="2"/>
    <s v="Stool"/>
    <x v="11"/>
    <n v="4"/>
    <n v="0"/>
    <n v="21"/>
    <x v="1"/>
    <d v="2024-01-09T00:00:00"/>
    <x v="13"/>
    <n v="0.35"/>
  </r>
  <r>
    <s v="ORD-361"/>
    <s v="Jesse Williams"/>
    <s v="Peabody"/>
    <x v="12"/>
    <x v="0"/>
    <s v="Keyboard"/>
    <x v="132"/>
    <n v="2"/>
    <n v="0"/>
    <n v="21"/>
    <x v="0"/>
    <d v="2024-01-10T00:00:00"/>
    <x v="13"/>
    <n v="0.3"/>
  </r>
  <r>
    <s v="ORD-362"/>
    <s v="Camilla Luddington"/>
    <s v="Unknown"/>
    <x v="12"/>
    <x v="1"/>
    <s v="Hat"/>
    <x v="17"/>
    <n v="1"/>
    <n v="0"/>
    <n v="15"/>
    <x v="1"/>
    <d v="2024-11-01T00:00:00"/>
    <x v="17"/>
    <n v="0.375"/>
  </r>
  <r>
    <s v="ORD-363"/>
    <s v="Jerrika Hinton"/>
    <s v="Methuen"/>
    <x v="12"/>
    <x v="2"/>
    <s v="Lamp"/>
    <x v="15"/>
    <n v="2"/>
    <n v="0.1"/>
    <n v="21"/>
    <x v="0"/>
    <d v="2024-01-12T00:00:00"/>
    <x v="13"/>
    <n v="0.26250000000000001"/>
  </r>
  <r>
    <s v="ORD-364"/>
    <s v="Kelly Mccreary"/>
    <s v="Barnstable"/>
    <x v="12"/>
    <x v="0"/>
    <s v="Mouse"/>
    <x v="34"/>
    <n v="3"/>
    <n v="0"/>
    <n v="15"/>
    <x v="1"/>
    <d v="2024-01-13T00:00:00"/>
    <x v="13"/>
    <n v="0.33333333333333331"/>
  </r>
  <r>
    <s v="ORD-365"/>
    <s v="Andrew Lincoln"/>
    <s v="Detroit"/>
    <x v="14"/>
    <x v="0"/>
    <s v="Laptop"/>
    <x v="183"/>
    <n v="1"/>
    <n v="0.1"/>
    <n v="170"/>
    <x v="0"/>
    <d v="2024-01-14T00:00:00"/>
    <x v="13"/>
    <n v="0.13178294573643412"/>
  </r>
  <r>
    <s v="ORD-366"/>
    <s v="Jon Bernthal"/>
    <s v="grand rapids"/>
    <x v="14"/>
    <x v="1"/>
    <s v="T-Shirt"/>
    <x v="31"/>
    <n v="2"/>
    <n v="0"/>
    <n v="20"/>
    <x v="1"/>
    <d v="2024-01-15T00:00:00"/>
    <x v="13"/>
    <n v="0.5714285714285714"/>
  </r>
  <r>
    <s v="ORD-368"/>
    <s v="Laurie Holden"/>
    <s v="Warren"/>
    <x v="14"/>
    <x v="0"/>
    <s v="Smartphone"/>
    <x v="12"/>
    <n v="1"/>
    <n v="0.05"/>
    <n v="130"/>
    <x v="0"/>
    <d v="2024-01-17T00:00:00"/>
    <x v="13"/>
    <n v="0.13"/>
  </r>
  <r>
    <s v="ORD-369"/>
    <s v="Jeffrey Demunn"/>
    <s v="Sterling Heights"/>
    <x v="14"/>
    <x v="1"/>
    <s v="Jeans"/>
    <x v="142"/>
    <n v="3"/>
    <n v="0"/>
    <n v="35"/>
    <x v="1"/>
    <d v="2024-01-18T00:00:00"/>
    <x v="13"/>
    <n v="0.4861111111111111"/>
  </r>
  <r>
    <s v="ORD-370"/>
    <s v="Steven Yeun"/>
    <s v="Ann Arbor"/>
    <x v="14"/>
    <x v="2"/>
    <s v="Chair"/>
    <x v="184"/>
    <n v="4"/>
    <n v="0.1"/>
    <n v="38"/>
    <x v="1"/>
    <d v="2024-01-19T00:00:00"/>
    <x v="13"/>
    <n v="0.21111111111111111"/>
  </r>
  <r>
    <s v="ORD-371"/>
    <s v="Chandler Riggs"/>
    <s v="Lansing"/>
    <x v="14"/>
    <x v="0"/>
    <s v="Tablet"/>
    <x v="185"/>
    <n v="2"/>
    <n v="0"/>
    <n v="62"/>
    <x v="0"/>
    <d v="2024-01-20T00:00:00"/>
    <x v="13"/>
    <n v="0.18787878787878787"/>
  </r>
  <r>
    <s v="ORD-372"/>
    <s v="Norman Reedus"/>
    <s v="Unknown"/>
    <x v="14"/>
    <x v="1"/>
    <s v="Dress"/>
    <x v="182"/>
    <n v="1"/>
    <n v="0.2"/>
    <n v="35"/>
    <x v="1"/>
    <d v="2024-01-21T00:00:00"/>
    <x v="13"/>
    <n v="0.35"/>
  </r>
  <r>
    <s v="ORD-373"/>
    <s v="Lauren Cohan"/>
    <s v="Clinton"/>
    <x v="14"/>
    <x v="2"/>
    <s v="Sofa"/>
    <x v="19"/>
    <n v="1"/>
    <n v="0.15"/>
    <n v="130"/>
    <x v="0"/>
    <d v="2024-01-22T00:00:00"/>
    <x v="13"/>
    <n v="0.11818181818181818"/>
  </r>
  <r>
    <s v="ORD-376"/>
    <s v="David Morrissey"/>
    <s v="Macomb"/>
    <x v="14"/>
    <x v="2"/>
    <s v="Table"/>
    <x v="186"/>
    <n v="1"/>
    <n v="0.1"/>
    <n v="62"/>
    <x v="1"/>
    <d v="2024-01-25T00:00:00"/>
    <x v="13"/>
    <n v="0.16315789473684211"/>
  </r>
  <r>
    <s v="ORD-377"/>
    <s v="Melissa Mcbride"/>
    <s v="Troy"/>
    <x v="14"/>
    <x v="0"/>
    <s v="Monitor"/>
    <x v="187"/>
    <n v="2"/>
    <n v="0.05"/>
    <n v="52"/>
    <x v="0"/>
    <d v="2024-01-26T00:00:00"/>
    <x v="13"/>
    <n v="0.18571428571428572"/>
  </r>
  <r>
    <s v="ORD-378"/>
    <s v="Scott Wilson"/>
    <s v="Westland"/>
    <x v="14"/>
    <x v="1"/>
    <s v="Jacket"/>
    <x v="184"/>
    <n v="1"/>
    <n v="0"/>
    <n v="47"/>
    <x v="1"/>
    <d v="2024-01-27T00:00:00"/>
    <x v="13"/>
    <n v="0.26111111111111113"/>
  </r>
  <r>
    <s v="ORD-379"/>
    <s v="Michael Cudlitz"/>
    <s v="Farmington Hills"/>
    <x v="14"/>
    <x v="2"/>
    <s v="Bookshelf"/>
    <x v="188"/>
    <n v="1"/>
    <n v="0.1"/>
    <n v="42"/>
    <x v="0"/>
    <d v="2024-01-28T00:00:00"/>
    <x v="13"/>
    <n v="0.18260869565217391"/>
  </r>
  <r>
    <s v="ORD-380"/>
    <s v="Emily Kinney"/>
    <s v="Flint"/>
    <x v="14"/>
    <x v="0"/>
    <s v="Smartwatch"/>
    <x v="188"/>
    <n v="1"/>
    <n v="0"/>
    <n v="62"/>
    <x v="1"/>
    <d v="2024-01-29T00:00:00"/>
    <x v="13"/>
    <n v="0.26956521739130435"/>
  </r>
  <r>
    <s v="ORD-381"/>
    <s v="Chad L. Coleman"/>
    <s v="Shelby"/>
    <x v="14"/>
    <x v="1"/>
    <s v="Sweater"/>
    <x v="51"/>
    <n v="2"/>
    <n v="0.1"/>
    <n v="22"/>
    <x v="0"/>
    <d v="2024-01-30T00:00:00"/>
    <x v="13"/>
    <n v="0.26829268292682928"/>
  </r>
  <r>
    <s v="ORD-382"/>
    <s v="Sonequa Martin-Green"/>
    <s v="Unknown"/>
    <x v="14"/>
    <x v="2"/>
    <s v="Bed"/>
    <x v="108"/>
    <n v="1"/>
    <n v="0.2"/>
    <n v="180"/>
    <x v="1"/>
    <d v="2024-01-31T00:00:00"/>
    <x v="13"/>
    <n v="0.14754098360655737"/>
  </r>
  <r>
    <s v="ORD-383"/>
    <s v="Lawrence Gilliard Jr."/>
    <s v="Wyoming"/>
    <x v="14"/>
    <x v="0"/>
    <s v="Camera"/>
    <x v="38"/>
    <n v="1"/>
    <n v="0"/>
    <n v="110"/>
    <x v="0"/>
    <d v="2024-02-01T00:00:00"/>
    <x v="14"/>
    <n v="0.13414634146341464"/>
  </r>
  <r>
    <s v="ORD-384"/>
    <s v="Alanna Masterson"/>
    <s v="Southfield"/>
    <x v="14"/>
    <x v="1"/>
    <s v="Shorts"/>
    <x v="39"/>
    <n v="3"/>
    <n v="0"/>
    <n v="16"/>
    <x v="1"/>
    <d v="2024-02-02T00:00:00"/>
    <x v="14"/>
    <n v="0.30769230769230771"/>
  </r>
  <r>
    <s v="ORD-386"/>
    <s v="Josh Mcdermitt"/>
    <s v="Rochester Hills"/>
    <x v="14"/>
    <x v="0"/>
    <s v="Router"/>
    <x v="189"/>
    <n v="2"/>
    <n v="0.1"/>
    <n v="35"/>
    <x v="1"/>
    <d v="2024-02-04T00:00:00"/>
    <x v="14"/>
    <n v="0.34313725490196079"/>
  </r>
  <r>
    <s v="ORD-387"/>
    <s v="Christian Serratos"/>
    <s v="Taylor"/>
    <x v="14"/>
    <x v="1"/>
    <s v="Socks"/>
    <x v="31"/>
    <n v="5"/>
    <n v="0"/>
    <n v="16"/>
    <x v="0"/>
    <d v="2024-05-02T00:00:00"/>
    <x v="18"/>
    <n v="0.45714285714285713"/>
  </r>
  <r>
    <s v="ORD-388"/>
    <s v="Andrew J. West"/>
    <s v="St. Clair Shores"/>
    <x v="14"/>
    <x v="2"/>
    <s v="Stool"/>
    <x v="47"/>
    <n v="4"/>
    <n v="0"/>
    <n v="22"/>
    <x v="1"/>
    <d v="2024-02-06T00:00:00"/>
    <x v="14"/>
    <n v="0.35483870967741937"/>
  </r>
  <r>
    <s v="ORD-389"/>
    <s v="Seth Gilliam"/>
    <s v="Pontiac"/>
    <x v="14"/>
    <x v="0"/>
    <s v="Keyboard"/>
    <x v="142"/>
    <n v="2"/>
    <n v="0"/>
    <n v="22"/>
    <x v="0"/>
    <d v="2024-02-07T00:00:00"/>
    <x v="14"/>
    <n v="0.30555555555555558"/>
  </r>
  <r>
    <s v="ORD-390"/>
    <s v="Lennie James"/>
    <s v="Unknown"/>
    <x v="14"/>
    <x v="1"/>
    <s v="Hat"/>
    <x v="53"/>
    <n v="1"/>
    <n v="0"/>
    <n v="16"/>
    <x v="1"/>
    <d v="2024-08-02T00:00:00"/>
    <x v="16"/>
    <n v="0.38095238095238093"/>
  </r>
  <r>
    <s v="ORD-391"/>
    <s v="Ross Marquand"/>
    <s v="Dearborn Heights"/>
    <x v="14"/>
    <x v="2"/>
    <s v="Lamp"/>
    <x v="51"/>
    <n v="2"/>
    <n v="0.1"/>
    <n v="22"/>
    <x v="0"/>
    <d v="2024-02-09T00:00:00"/>
    <x v="14"/>
    <n v="0.26829268292682928"/>
  </r>
  <r>
    <s v="ORD-392"/>
    <s v="Austin Nichols"/>
    <s v="Royal Oak"/>
    <x v="14"/>
    <x v="0"/>
    <s v="Mouse"/>
    <x v="190"/>
    <n v="3"/>
    <n v="0"/>
    <n v="16"/>
    <x v="1"/>
    <d v="2024-10-02T00:00:00"/>
    <x v="19"/>
    <n v="0.34042553191489361"/>
  </r>
  <r>
    <s v="ORD-393"/>
    <s v="Gabriel Macht"/>
    <s v="Memphis"/>
    <x v="13"/>
    <x v="0"/>
    <s v="Laptop"/>
    <x v="191"/>
    <n v="1"/>
    <n v="0.1"/>
    <n v="172"/>
    <x v="0"/>
    <d v="2024-11-02T00:00:00"/>
    <x v="17"/>
    <n v="0.13230769230769232"/>
  </r>
  <r>
    <s v="ORD-394"/>
    <s v="Patrick J. Adams"/>
    <s v="nashville"/>
    <x v="13"/>
    <x v="1"/>
    <s v="T-Shirt"/>
    <x v="104"/>
    <n v="2"/>
    <n v="0"/>
    <n v="21"/>
    <x v="1"/>
    <d v="2024-02-12T00:00:00"/>
    <x v="14"/>
    <n v="0.58333333333333337"/>
  </r>
  <r>
    <s v="ORD-396"/>
    <s v="Meghan Markle"/>
    <s v="Knoxville"/>
    <x v="13"/>
    <x v="0"/>
    <s v="Smartphone"/>
    <x v="48"/>
    <n v="1"/>
    <n v="0.05"/>
    <n v="132"/>
    <x v="0"/>
    <d v="2024-02-14T00:00:00"/>
    <x v="14"/>
    <n v="0.12941176470588237"/>
  </r>
  <r>
    <s v="ORD-397"/>
    <s v="Sarah Rafferty"/>
    <s v="Chattanooga"/>
    <x v="13"/>
    <x v="1"/>
    <s v="Jeans"/>
    <x v="153"/>
    <n v="3"/>
    <n v="0"/>
    <n v="37"/>
    <x v="1"/>
    <d v="2024-02-15T00:00:00"/>
    <x v="14"/>
    <n v="0.5"/>
  </r>
  <r>
    <s v="ORD-398"/>
    <s v="Gina Torres"/>
    <s v="Clarksville"/>
    <x v="13"/>
    <x v="2"/>
    <s v="Chair"/>
    <x v="192"/>
    <n v="4"/>
    <n v="0.1"/>
    <n v="40"/>
    <x v="1"/>
    <d v="2024-02-16T00:00:00"/>
    <x v="14"/>
    <n v="0.21978021978021978"/>
  </r>
  <r>
    <s v="ORD-399"/>
    <s v="Amanda Schull"/>
    <s v="Murfreesboro"/>
    <x v="13"/>
    <x v="0"/>
    <s v="Tablet"/>
    <x v="193"/>
    <n v="2"/>
    <n v="0"/>
    <n v="64"/>
    <x v="0"/>
    <d v="2024-02-17T00:00:00"/>
    <x v="14"/>
    <n v="0.19277108433734941"/>
  </r>
  <r>
    <s v="ORD-400"/>
    <s v="Dulé Hill"/>
    <s v="Unknown"/>
    <x v="13"/>
    <x v="1"/>
    <s v="Dress"/>
    <x v="189"/>
    <n v="1"/>
    <n v="0.2"/>
    <n v="37"/>
    <x v="1"/>
    <d v="2024-02-18T00:00:00"/>
    <x v="14"/>
    <n v="0.36274509803921567"/>
  </r>
  <r>
    <s v="ORD-401"/>
    <s v="Katherine Heigl"/>
    <s v="Franklin"/>
    <x v="13"/>
    <x v="2"/>
    <s v="Sofa"/>
    <x v="143"/>
    <n v="1"/>
    <n v="0.15"/>
    <n v="132"/>
    <x v="0"/>
    <d v="2024-02-19T00:00:00"/>
    <x v="14"/>
    <n v="0.11785714285714285"/>
  </r>
  <r>
    <s v="ORD-404"/>
    <s v="Aaron Paul"/>
    <s v="Bartlett"/>
    <x v="13"/>
    <x v="2"/>
    <s v="Table"/>
    <x v="194"/>
    <n v="1"/>
    <n v="0.1"/>
    <n v="64"/>
    <x v="1"/>
    <d v="2024-02-22T00:00:00"/>
    <x v="14"/>
    <n v="0.16753926701570682"/>
  </r>
  <r>
    <s v="ORD-405"/>
    <s v="Dean Norris"/>
    <s v="Hendersonville"/>
    <x v="13"/>
    <x v="0"/>
    <s v="Monitor"/>
    <x v="195"/>
    <n v="2"/>
    <n v="0.05"/>
    <n v="54"/>
    <x v="0"/>
    <d v="2024-02-23T00:00:00"/>
    <x v="14"/>
    <n v="0.19148936170212766"/>
  </r>
  <r>
    <s v="ORD-406"/>
    <s v="Betsy Brandt"/>
    <s v="Kingsport"/>
    <x v="13"/>
    <x v="1"/>
    <s v="Jacket"/>
    <x v="192"/>
    <n v="1"/>
    <n v="0"/>
    <n v="49"/>
    <x v="1"/>
    <d v="2024-02-24T00:00:00"/>
    <x v="14"/>
    <n v="0.26923076923076922"/>
  </r>
  <r>
    <s v="ORD-407"/>
    <s v="Rj Mitte"/>
    <s v="Collierville"/>
    <x v="13"/>
    <x v="2"/>
    <s v="Bookshelf"/>
    <x v="196"/>
    <n v="1"/>
    <n v="0.1"/>
    <n v="44"/>
    <x v="0"/>
    <d v="2024-02-25T00:00:00"/>
    <x v="14"/>
    <n v="0.18965517241379309"/>
  </r>
  <r>
    <s v="ORD-408"/>
    <s v="Bob Odenkirk"/>
    <s v="Smyrna"/>
    <x v="13"/>
    <x v="0"/>
    <s v="Smartwatch"/>
    <x v="196"/>
    <n v="1"/>
    <n v="0"/>
    <n v="64"/>
    <x v="1"/>
    <d v="2024-02-26T00:00:00"/>
    <x v="14"/>
    <n v="0.27586206896551724"/>
  </r>
  <r>
    <s v="ORD-409"/>
    <s v="Giancarlo Esposito"/>
    <s v="Cleveland"/>
    <x v="13"/>
    <x v="1"/>
    <s v="Sweater"/>
    <x v="87"/>
    <n v="2"/>
    <n v="0.1"/>
    <n v="23"/>
    <x v="0"/>
    <d v="2024-02-27T00:00:00"/>
    <x v="14"/>
    <n v="0.27380952380952384"/>
  </r>
  <r>
    <s v="ORD-410"/>
    <s v="Jonathan Banks"/>
    <s v="Unknown"/>
    <x v="13"/>
    <x v="2"/>
    <s v="Bed"/>
    <x v="136"/>
    <n v="1"/>
    <n v="0.2"/>
    <n v="182"/>
    <x v="1"/>
    <d v="2024-02-28T00:00:00"/>
    <x v="14"/>
    <n v="0.14677419354838708"/>
  </r>
  <r>
    <s v="ORD-411"/>
    <s v="Laura Fraser"/>
    <s v="Brentwood"/>
    <x v="13"/>
    <x v="0"/>
    <s v="Camera"/>
    <x v="93"/>
    <n v="1"/>
    <n v="0"/>
    <n v="112"/>
    <x v="0"/>
    <d v="2024-02-29T00:00:00"/>
    <x v="14"/>
    <n v="0.13333333333333333"/>
  </r>
  <r>
    <s v="ORD-412"/>
    <s v="Jesse Plemons"/>
    <s v="Germantown"/>
    <x v="13"/>
    <x v="1"/>
    <s v="Shorts"/>
    <x v="75"/>
    <n v="3"/>
    <n v="0"/>
    <n v="17"/>
    <x v="1"/>
    <d v="2024-03-01T00:00:00"/>
    <x v="15"/>
    <n v="0.31481481481481483"/>
  </r>
  <r>
    <s v="ORD-414"/>
    <s v="Elisabeth Moss"/>
    <s v="Spring Hill"/>
    <x v="13"/>
    <x v="0"/>
    <s v="Router"/>
    <x v="197"/>
    <n v="2"/>
    <n v="0.1"/>
    <n v="37"/>
    <x v="1"/>
    <d v="2024-03-03T00:00:00"/>
    <x v="15"/>
    <n v="0.35576923076923078"/>
  </r>
  <r>
    <s v="ORD-415"/>
    <s v="Vincent Kartheiser"/>
    <s v="Gallatin"/>
    <x v="13"/>
    <x v="1"/>
    <s v="Socks"/>
    <x v="146"/>
    <n v="5"/>
    <n v="0"/>
    <n v="17"/>
    <x v="0"/>
    <d v="2024-04-03T00:00:00"/>
    <x v="20"/>
    <n v="0.45945945945945948"/>
  </r>
  <r>
    <s v="ORD-416"/>
    <s v="January Jones"/>
    <s v="Mount Juliet"/>
    <x v="13"/>
    <x v="2"/>
    <s v="Stool"/>
    <x v="83"/>
    <n v="4"/>
    <n v="0"/>
    <n v="23"/>
    <x v="1"/>
    <d v="2024-03-05T00:00:00"/>
    <x v="15"/>
    <n v="0.359375"/>
  </r>
  <r>
    <s v="ORD-417"/>
    <s v="Christina Hendricks"/>
    <s v="Lebanon"/>
    <x v="13"/>
    <x v="0"/>
    <s v="Keyboard"/>
    <x v="153"/>
    <n v="2"/>
    <n v="0"/>
    <n v="23"/>
    <x v="0"/>
    <d v="2024-03-06T00:00:00"/>
    <x v="15"/>
    <n v="0.3108108108108108"/>
  </r>
  <r>
    <s v="ORD-418"/>
    <s v="John Slattery"/>
    <s v="Unknown"/>
    <x v="13"/>
    <x v="1"/>
    <s v="Hat"/>
    <x v="89"/>
    <n v="1"/>
    <n v="0"/>
    <n v="17"/>
    <x v="1"/>
    <d v="2024-07-03T00:00:00"/>
    <x v="21"/>
    <n v="0.38636363636363635"/>
  </r>
  <r>
    <s v="ORD-419"/>
    <s v="Aaron Staton"/>
    <s v="Morristown"/>
    <x v="13"/>
    <x v="2"/>
    <s v="Lamp"/>
    <x v="87"/>
    <n v="2"/>
    <n v="0.1"/>
    <n v="23"/>
    <x v="0"/>
    <d v="2024-03-08T00:00:00"/>
    <x v="15"/>
    <n v="0.27380952380952384"/>
  </r>
  <r>
    <s v="ORD-420"/>
    <s v="Rich Sommer"/>
    <s v="Oak Ridge"/>
    <x v="13"/>
    <x v="0"/>
    <s v="Mouse"/>
    <x v="198"/>
    <n v="3"/>
    <n v="0"/>
    <n v="17"/>
    <x v="1"/>
    <d v="2024-09-03T00:00:00"/>
    <x v="22"/>
    <n v="0.34693877551020408"/>
  </r>
  <r>
    <s v="ORD-421"/>
    <s v="Matthew Fox"/>
    <s v="Louisville"/>
    <x v="16"/>
    <x v="0"/>
    <s v="Laptop"/>
    <x v="199"/>
    <n v="1"/>
    <n v="0.1"/>
    <n v="174"/>
    <x v="0"/>
    <d v="2024-10-03T00:00:00"/>
    <x v="19"/>
    <n v="0.13282442748091602"/>
  </r>
  <r>
    <s v="ORD-422"/>
    <s v="Evangeline Lilly"/>
    <s v="lexington"/>
    <x v="16"/>
    <x v="1"/>
    <s v="T-Shirt"/>
    <x v="146"/>
    <n v="2"/>
    <n v="0"/>
    <n v="22"/>
    <x v="1"/>
    <d v="2024-03-11T00:00:00"/>
    <x v="15"/>
    <n v="0.59459459459459463"/>
  </r>
  <r>
    <s v="ORD-424"/>
    <s v="Josh Holloway"/>
    <s v="Bowling Green"/>
    <x v="16"/>
    <x v="0"/>
    <s v="Smartphone"/>
    <x v="84"/>
    <n v="1"/>
    <n v="0.05"/>
    <n v="134"/>
    <x v="0"/>
    <d v="2024-03-13T00:00:00"/>
    <x v="15"/>
    <n v="0.12884615384615383"/>
  </r>
  <r>
    <s v="ORD-425"/>
    <s v="Terry O'Quinn"/>
    <s v="Owensboro"/>
    <x v="16"/>
    <x v="1"/>
    <s v="Jeans"/>
    <x v="62"/>
    <n v="3"/>
    <n v="0"/>
    <n v="39"/>
    <x v="1"/>
    <d v="2024-03-14T00:00:00"/>
    <x v="15"/>
    <n v="0.51315789473684215"/>
  </r>
  <r>
    <s v="ORD-426"/>
    <s v="Naveen Andrews"/>
    <s v="Covington"/>
    <x v="16"/>
    <x v="2"/>
    <s v="Chair"/>
    <x v="200"/>
    <n v="4"/>
    <n v="0.1"/>
    <n v="42"/>
    <x v="1"/>
    <d v="2024-03-15T00:00:00"/>
    <x v="15"/>
    <n v="0.22826086956521738"/>
  </r>
  <r>
    <s v="ORD-427"/>
    <s v="Daniel Dae Kim"/>
    <s v="Richmond"/>
    <x v="16"/>
    <x v="0"/>
    <s v="Tablet"/>
    <x v="201"/>
    <n v="2"/>
    <n v="0"/>
    <n v="66"/>
    <x v="0"/>
    <d v="2024-03-16T00:00:00"/>
    <x v="15"/>
    <n v="0.19760479041916168"/>
  </r>
  <r>
    <s v="ORD-428"/>
    <s v="Yunjin Kim"/>
    <s v="Unknown"/>
    <x v="16"/>
    <x v="1"/>
    <s v="Dress"/>
    <x v="197"/>
    <n v="1"/>
    <n v="0.2"/>
    <n v="39"/>
    <x v="1"/>
    <d v="2024-03-17T00:00:00"/>
    <x v="15"/>
    <n v="0.375"/>
  </r>
  <r>
    <s v="ORD-429"/>
    <s v="Emilie De Ravin"/>
    <s v="Georgetown"/>
    <x v="16"/>
    <x v="2"/>
    <s v="Sofa"/>
    <x v="154"/>
    <n v="1"/>
    <n v="0.15"/>
    <n v="134"/>
    <x v="0"/>
    <d v="2024-03-18T00:00:00"/>
    <x v="15"/>
    <n v="0.11754385964912281"/>
  </r>
  <r>
    <s v="ORD-432"/>
    <s v="Elizabeth Mitchell"/>
    <s v="Nicholasville"/>
    <x v="16"/>
    <x v="2"/>
    <s v="Table"/>
    <x v="202"/>
    <n v="1"/>
    <n v="0.1"/>
    <n v="66"/>
    <x v="1"/>
    <d v="2024-03-21T00:00:00"/>
    <x v="15"/>
    <n v="0.171875"/>
  </r>
  <r>
    <s v="ORD-433"/>
    <s v="Ken Leung"/>
    <s v="Elizabethtown"/>
    <x v="16"/>
    <x v="0"/>
    <s v="Monitor"/>
    <x v="203"/>
    <n v="2"/>
    <n v="0.05"/>
    <n v="56"/>
    <x v="0"/>
    <d v="2024-03-22T00:00:00"/>
    <x v="15"/>
    <n v="0.19718309859154928"/>
  </r>
  <r>
    <s v="ORD-434"/>
    <s v="Michael Emerson"/>
    <s v="Henderson"/>
    <x v="16"/>
    <x v="1"/>
    <s v="Jacket"/>
    <x v="200"/>
    <n v="1"/>
    <n v="0"/>
    <n v="51"/>
    <x v="1"/>
    <d v="2024-03-23T00:00:00"/>
    <x v="15"/>
    <n v="0.27717391304347827"/>
  </r>
  <r>
    <s v="ORD-435"/>
    <s v="Henry Ian Cusick"/>
    <s v="Frankfort"/>
    <x v="16"/>
    <x v="2"/>
    <s v="Bookshelf"/>
    <x v="204"/>
    <n v="1"/>
    <n v="0.1"/>
    <n v="46"/>
    <x v="0"/>
    <d v="2024-03-24T00:00:00"/>
    <x v="15"/>
    <n v="0.19658119658119658"/>
  </r>
  <r>
    <s v="ORD-436"/>
    <s v="Jeff Probst"/>
    <s v="Jeffersontown"/>
    <x v="16"/>
    <x v="0"/>
    <s v="Smartwatch"/>
    <x v="204"/>
    <n v="1"/>
    <n v="0"/>
    <n v="66"/>
    <x v="1"/>
    <d v="2024-03-25T00:00:00"/>
    <x v="15"/>
    <n v="0.28205128205128205"/>
  </r>
  <r>
    <s v="ORD-437"/>
    <s v="Phil Keoghan"/>
    <s v="Independence"/>
    <x v="16"/>
    <x v="1"/>
    <s v="Sweater"/>
    <x v="105"/>
    <n v="2"/>
    <n v="0.1"/>
    <n v="24"/>
    <x v="0"/>
    <d v="2024-03-26T00:00:00"/>
    <x v="15"/>
    <n v="0.27906976744186046"/>
  </r>
  <r>
    <s v="ORD-438"/>
    <s v="Julie Chen Moonves"/>
    <s v="Unknown"/>
    <x v="16"/>
    <x v="2"/>
    <s v="Bed"/>
    <x v="158"/>
    <n v="1"/>
    <n v="0.2"/>
    <n v="184"/>
    <x v="1"/>
    <d v="2024-03-27T00:00:00"/>
    <x v="15"/>
    <n v="0.14603174603174604"/>
  </r>
  <r>
    <s v="ORD-439"/>
    <s v="Rupaul Charles"/>
    <s v="Paducah"/>
    <x v="16"/>
    <x v="0"/>
    <s v="Camera"/>
    <x v="109"/>
    <n v="1"/>
    <n v="0"/>
    <n v="114"/>
    <x v="0"/>
    <d v="2024-03-28T00:00:00"/>
    <x v="15"/>
    <n v="0.13255813953488371"/>
  </r>
  <r>
    <s v="ORD-440"/>
    <s v="Gordon Ramsay"/>
    <s v="Radcliff"/>
    <x v="16"/>
    <x v="1"/>
    <s v="Shorts"/>
    <x v="94"/>
    <n v="3"/>
    <n v="0"/>
    <n v="18"/>
    <x v="1"/>
    <d v="2024-03-29T00:00:00"/>
    <x v="15"/>
    <n v="0.32142857142857145"/>
  </r>
  <r>
    <s v="ORD-442"/>
    <s v="Tom Colicchio"/>
    <s v="Madisonville"/>
    <x v="16"/>
    <x v="0"/>
    <s v="Router"/>
    <x v="205"/>
    <n v="2"/>
    <n v="0.1"/>
    <n v="39"/>
    <x v="1"/>
    <d v="2024-03-31T00:00:00"/>
    <x v="15"/>
    <n v="0.36792452830188677"/>
  </r>
  <r>
    <s v="ORD-443"/>
    <s v="Gail Simmons"/>
    <s v="Winchester"/>
    <x v="16"/>
    <x v="1"/>
    <s v="Socks"/>
    <x v="157"/>
    <n v="5"/>
    <n v="0"/>
    <n v="18"/>
    <x v="0"/>
    <d v="2024-01-04T00:00:00"/>
    <x v="13"/>
    <n v="0.46153846153846156"/>
  </r>
  <r>
    <s v="ORD-444"/>
    <s v="Tim Gunn"/>
    <s v="Erlanger"/>
    <x v="16"/>
    <x v="2"/>
    <s v="Stool"/>
    <x v="101"/>
    <n v="4"/>
    <n v="0"/>
    <n v="24"/>
    <x v="1"/>
    <d v="2024-04-02T00:00:00"/>
    <x v="20"/>
    <n v="0.36363636363636365"/>
  </r>
  <r>
    <s v="ORD-445"/>
    <s v="Heidi Klum"/>
    <s v="Murray"/>
    <x v="16"/>
    <x v="0"/>
    <s v="Keyboard"/>
    <x v="62"/>
    <n v="2"/>
    <n v="0"/>
    <n v="24"/>
    <x v="0"/>
    <d v="2024-04-03T00:00:00"/>
    <x v="20"/>
    <n v="0.31578947368421051"/>
  </r>
  <r>
    <s v="ORD-446"/>
    <s v="Nina Garcia"/>
    <s v="Unknown"/>
    <x v="16"/>
    <x v="1"/>
    <s v="Hat"/>
    <x v="107"/>
    <n v="1"/>
    <n v="0"/>
    <n v="18"/>
    <x v="1"/>
    <d v="2024-04-04T00:00:00"/>
    <x v="20"/>
    <n v="0.39130434782608697"/>
  </r>
  <r>
    <s v="ORD-447"/>
    <s v="Zac Posen"/>
    <s v="St. Matthews"/>
    <x v="16"/>
    <x v="2"/>
    <s v="Lamp"/>
    <x v="105"/>
    <n v="2"/>
    <n v="0.1"/>
    <n v="24"/>
    <x v="0"/>
    <d v="2024-04-05T00:00:00"/>
    <x v="20"/>
    <n v="0.27906976744186046"/>
  </r>
  <r>
    <s v="ORD-448"/>
    <s v="Tyra Banks"/>
    <s v="Fort Thomas"/>
    <x v="16"/>
    <x v="0"/>
    <s v="Mouse"/>
    <x v="59"/>
    <n v="3"/>
    <n v="0"/>
    <n v="18"/>
    <x v="1"/>
    <d v="2024-06-04T00:00:00"/>
    <x v="23"/>
    <n v="0.35294117647058826"/>
  </r>
  <r>
    <s v="ORD-449"/>
    <s v="Kiefer Sutherland"/>
    <s v="Portland"/>
    <x v="15"/>
    <x v="0"/>
    <s v="Laptop"/>
    <x v="206"/>
    <n v="1"/>
    <n v="0.1"/>
    <n v="176"/>
    <x v="0"/>
    <d v="2024-07-04T00:00:00"/>
    <x v="21"/>
    <n v="0.13333333333333333"/>
  </r>
  <r>
    <s v="ORD-450"/>
    <s v="Mary Lynn Rajskub"/>
    <s v="salem"/>
    <x v="15"/>
    <x v="1"/>
    <s v="T-Shirt"/>
    <x v="120"/>
    <n v="2"/>
    <n v="0"/>
    <n v="23"/>
    <x v="1"/>
    <d v="2024-04-08T00:00:00"/>
    <x v="20"/>
    <n v="0.60526315789473684"/>
  </r>
  <r>
    <s v="ORD-452"/>
    <s v="Dennis Haysbert"/>
    <s v="Eugene"/>
    <x v="15"/>
    <x v="0"/>
    <s v="Smartphone"/>
    <x v="102"/>
    <n v="1"/>
    <n v="0.05"/>
    <n v="136"/>
    <x v="0"/>
    <d v="2024-10-04T00:00:00"/>
    <x v="19"/>
    <n v="0.12830188679245283"/>
  </r>
  <r>
    <s v="ORD-453"/>
    <s v="Elisha Cuthbert"/>
    <s v="Gresham"/>
    <x v="15"/>
    <x v="1"/>
    <s v="Jeans"/>
    <x v="42"/>
    <n v="3"/>
    <n v="0"/>
    <n v="41"/>
    <x v="1"/>
    <d v="2024-11-04T00:00:00"/>
    <x v="17"/>
    <n v="0.52564102564102566"/>
  </r>
  <r>
    <s v="ORD-454"/>
    <s v="Simon Baker"/>
    <s v="Hillsboro"/>
    <x v="15"/>
    <x v="2"/>
    <s v="Chair"/>
    <x v="207"/>
    <n v="4"/>
    <n v="0.1"/>
    <n v="44"/>
    <x v="1"/>
    <d v="2024-04-12T00:00:00"/>
    <x v="20"/>
    <n v="0.23655913978494625"/>
  </r>
  <r>
    <s v="ORD-455"/>
    <s v="Robin Tunney"/>
    <s v="Beaverton"/>
    <x v="15"/>
    <x v="0"/>
    <s v="Tablet"/>
    <x v="208"/>
    <n v="2"/>
    <n v="0"/>
    <n v="68"/>
    <x v="0"/>
    <d v="2024-04-13T00:00:00"/>
    <x v="20"/>
    <n v="0.20238095238095238"/>
  </r>
  <r>
    <s v="ORD-456"/>
    <s v="Tim Kang"/>
    <s v="Unknown"/>
    <x v="15"/>
    <x v="1"/>
    <s v="Dress"/>
    <x v="205"/>
    <n v="1"/>
    <n v="0.2"/>
    <n v="41"/>
    <x v="1"/>
    <d v="2024-04-14T00:00:00"/>
    <x v="20"/>
    <n v="0.3867924528301887"/>
  </r>
  <r>
    <s v="ORD-457"/>
    <s v="Owain Yeoman"/>
    <s v="Bend"/>
    <x v="15"/>
    <x v="2"/>
    <s v="Sofa"/>
    <x v="164"/>
    <n v="1"/>
    <n v="0.15"/>
    <n v="136"/>
    <x v="0"/>
    <d v="2024-04-15T00:00:00"/>
    <x v="20"/>
    <n v="0.11724137931034483"/>
  </r>
  <r>
    <s v="ORD-460"/>
    <s v="David Boreanaz"/>
    <s v="Corvallis"/>
    <x v="15"/>
    <x v="2"/>
    <s v="Table"/>
    <x v="209"/>
    <n v="1"/>
    <n v="0.1"/>
    <n v="68"/>
    <x v="1"/>
    <d v="2024-04-18T00:00:00"/>
    <x v="20"/>
    <n v="0.17616580310880828"/>
  </r>
  <r>
    <s v="ORD-461"/>
    <s v="Michaela Conlin"/>
    <s v="Albany"/>
    <x v="15"/>
    <x v="0"/>
    <s v="Monitor"/>
    <x v="210"/>
    <n v="2"/>
    <n v="0.05"/>
    <n v="58"/>
    <x v="0"/>
    <d v="2024-04-19T00:00:00"/>
    <x v="20"/>
    <n v="0.20279720279720279"/>
  </r>
  <r>
    <s v="ORD-462"/>
    <s v="T.J. Thyne"/>
    <s v="Tigard"/>
    <x v="15"/>
    <x v="1"/>
    <s v="Jacket"/>
    <x v="207"/>
    <n v="1"/>
    <n v="0"/>
    <n v="53"/>
    <x v="1"/>
    <d v="2024-04-20T00:00:00"/>
    <x v="20"/>
    <n v="0.28494623655913981"/>
  </r>
  <r>
    <s v="ORD-463"/>
    <s v="Tamara Taylor"/>
    <s v="Lake Oswego"/>
    <x v="15"/>
    <x v="2"/>
    <s v="Bookshelf"/>
    <x v="211"/>
    <n v="1"/>
    <n v="0.1"/>
    <n v="48"/>
    <x v="0"/>
    <d v="2024-04-21T00:00:00"/>
    <x v="20"/>
    <n v="0.20338983050847459"/>
  </r>
  <r>
    <s v="ORD-464"/>
    <s v="John Francis Daley"/>
    <s v="Keizer"/>
    <x v="15"/>
    <x v="0"/>
    <s v="Smartwatch"/>
    <x v="211"/>
    <n v="1"/>
    <n v="0"/>
    <n v="68"/>
    <x v="1"/>
    <d v="2024-04-22T00:00:00"/>
    <x v="20"/>
    <n v="0.28813559322033899"/>
  </r>
  <r>
    <s v="ORD-465"/>
    <s v="Stana Katic"/>
    <s v="Grants Pass"/>
    <x v="15"/>
    <x v="1"/>
    <s v="Sweater"/>
    <x v="121"/>
    <n v="2"/>
    <n v="0.1"/>
    <n v="25"/>
    <x v="0"/>
    <d v="2024-04-23T00:00:00"/>
    <x v="20"/>
    <n v="0.28409090909090912"/>
  </r>
  <r>
    <s v="ORD-466"/>
    <s v="Nathan Fillion"/>
    <s v="Unknown"/>
    <x v="15"/>
    <x v="2"/>
    <s v="Bed"/>
    <x v="176"/>
    <n v="1"/>
    <n v="0.2"/>
    <n v="186"/>
    <x v="1"/>
    <d v="2024-04-24T00:00:00"/>
    <x v="20"/>
    <n v="0.14531250000000001"/>
  </r>
  <r>
    <s v="ORD-467"/>
    <s v="Jon Huertas"/>
    <s v="Oregon City"/>
    <x v="15"/>
    <x v="0"/>
    <s v="Camera"/>
    <x v="125"/>
    <n v="1"/>
    <n v="0"/>
    <n v="116"/>
    <x v="0"/>
    <d v="2024-04-25T00:00:00"/>
    <x v="20"/>
    <n v="0.13181818181818181"/>
  </r>
  <r>
    <s v="ORD-468"/>
    <s v="Seamus Dever"/>
    <s v="McMinnville"/>
    <x v="15"/>
    <x v="1"/>
    <s v="Shorts"/>
    <x v="110"/>
    <n v="3"/>
    <n v="0"/>
    <n v="19"/>
    <x v="1"/>
    <d v="2024-04-26T00:00:00"/>
    <x v="20"/>
    <n v="0.32758620689655171"/>
  </r>
  <r>
    <s v="ORD-470"/>
    <s v="Molly Quinn"/>
    <s v="Tualatin"/>
    <x v="15"/>
    <x v="0"/>
    <s v="Router"/>
    <x v="212"/>
    <n v="2"/>
    <n v="0.1"/>
    <n v="41"/>
    <x v="1"/>
    <d v="2024-04-28T00:00:00"/>
    <x v="20"/>
    <n v="0.37962962962962965"/>
  </r>
  <r>
    <s v="ORD-471"/>
    <s v="Susan Sullivan"/>
    <s v="West Linn"/>
    <x v="15"/>
    <x v="1"/>
    <s v="Socks"/>
    <x v="72"/>
    <n v="5"/>
    <n v="0"/>
    <n v="19"/>
    <x v="0"/>
    <d v="2024-04-29T00:00:00"/>
    <x v="20"/>
    <n v="0.46341463414634149"/>
  </r>
  <r>
    <s v="ORD-472"/>
    <s v="Penny Johnson Jerald"/>
    <s v="Woodburn"/>
    <x v="15"/>
    <x v="2"/>
    <s v="Stool"/>
    <x v="117"/>
    <n v="4"/>
    <n v="0"/>
    <n v="25"/>
    <x v="1"/>
    <d v="2024-04-30T00:00:00"/>
    <x v="20"/>
    <n v="0.36764705882352944"/>
  </r>
  <r>
    <s v="ORD-473"/>
    <s v="Mark Harmon"/>
    <s v="Newberg"/>
    <x v="15"/>
    <x v="0"/>
    <s v="Keyboard"/>
    <x v="42"/>
    <n v="2"/>
    <n v="0"/>
    <n v="25"/>
    <x v="0"/>
    <d v="2024-05-01T00:00:00"/>
    <x v="18"/>
    <n v="0.32051282051282054"/>
  </r>
  <r>
    <s v="ORD-474"/>
    <s v="Michael Weatherly"/>
    <s v="Unknown"/>
    <x v="15"/>
    <x v="1"/>
    <s v="Hat"/>
    <x v="122"/>
    <n v="1"/>
    <n v="0"/>
    <n v="19"/>
    <x v="1"/>
    <d v="2024-02-05T00:00:00"/>
    <x v="14"/>
    <n v="0.39583333333333331"/>
  </r>
  <r>
    <s v="ORD-475"/>
    <s v="Cote De Pablo"/>
    <s v="Roseburg"/>
    <x v="15"/>
    <x v="2"/>
    <s v="Lamp"/>
    <x v="121"/>
    <n v="2"/>
    <n v="0.1"/>
    <n v="25"/>
    <x v="0"/>
    <d v="2024-05-03T00:00:00"/>
    <x v="18"/>
    <n v="0.28409090909090912"/>
  </r>
  <r>
    <s v="ORD-476"/>
    <s v="Pauley Perrette"/>
    <s v="Forest Grove"/>
    <x v="15"/>
    <x v="0"/>
    <s v="Mouse"/>
    <x v="213"/>
    <n v="3"/>
    <n v="0"/>
    <n v="19"/>
    <x v="1"/>
    <d v="2024-04-05T00:00:00"/>
    <x v="20"/>
    <n v="0.35849056603773582"/>
  </r>
  <r>
    <s v="ORD-477"/>
    <s v="Sean Murray"/>
    <s v="Atlanta"/>
    <x v="17"/>
    <x v="0"/>
    <s v="Laptop"/>
    <x v="214"/>
    <n v="1"/>
    <n v="0.1"/>
    <n v="178"/>
    <x v="0"/>
    <d v="2024-05-05T00:00:00"/>
    <x v="18"/>
    <n v="0.13383458646616542"/>
  </r>
  <r>
    <s v="ORD-478"/>
    <s v="David Mccallum"/>
    <s v="augusta"/>
    <x v="17"/>
    <x v="1"/>
    <s v="T-Shirt"/>
    <x v="157"/>
    <n v="2"/>
    <n v="0"/>
    <n v="24"/>
    <x v="1"/>
    <d v="2024-05-06T00:00:00"/>
    <x v="18"/>
    <n v="0.61538461538461542"/>
  </r>
  <r>
    <s v="ORD-480"/>
    <s v="Rocky Carroll"/>
    <s v="Columbus"/>
    <x v="17"/>
    <x v="0"/>
    <s v="Smartphone"/>
    <x v="118"/>
    <n v="1"/>
    <n v="0.05"/>
    <n v="138"/>
    <x v="0"/>
    <d v="2024-08-05T00:00:00"/>
    <x v="16"/>
    <n v="0.12777777777777777"/>
  </r>
  <r>
    <s v="ORD-481"/>
    <s v="Emily Wickersham"/>
    <s v="Macon"/>
    <x v="17"/>
    <x v="1"/>
    <s v="Jeans"/>
    <x v="15"/>
    <n v="3"/>
    <n v="0"/>
    <n v="43"/>
    <x v="1"/>
    <d v="2024-09-05T00:00:00"/>
    <x v="22"/>
    <n v="0.53749999999999998"/>
  </r>
  <r>
    <s v="ORD-482"/>
    <s v="Wilmer Valderrama"/>
    <s v="Savannah"/>
    <x v="17"/>
    <x v="2"/>
    <s v="Chair"/>
    <x v="215"/>
    <n v="4"/>
    <n v="0.1"/>
    <n v="46"/>
    <x v="1"/>
    <d v="2024-05-10T00:00:00"/>
    <x v="18"/>
    <n v="0.24468085106382978"/>
  </r>
  <r>
    <s v="ORD-483"/>
    <s v="Maria Bello"/>
    <s v="Athens"/>
    <x v="17"/>
    <x v="0"/>
    <s v="Tablet"/>
    <x v="216"/>
    <n v="2"/>
    <n v="0"/>
    <n v="70"/>
    <x v="0"/>
    <d v="2024-11-05T00:00:00"/>
    <x v="17"/>
    <n v="0.20710059171597633"/>
  </r>
  <r>
    <s v="ORD-484"/>
    <s v="Duane Henry"/>
    <s v="Unknown"/>
    <x v="17"/>
    <x v="1"/>
    <s v="Dress"/>
    <x v="212"/>
    <n v="1"/>
    <n v="0.2"/>
    <n v="43"/>
    <x v="1"/>
    <d v="2024-12-05T00:00:00"/>
    <x v="24"/>
    <n v="0.39814814814814814"/>
  </r>
  <r>
    <s v="ORD-485"/>
    <s v="Diona Reasonover"/>
    <s v="Sandy Springs"/>
    <x v="17"/>
    <x v="2"/>
    <s v="Sofa"/>
    <x v="56"/>
    <n v="1"/>
    <n v="0.15"/>
    <n v="138"/>
    <x v="0"/>
    <d v="2024-05-13T00:00:00"/>
    <x v="18"/>
    <n v="0.11694915254237288"/>
  </r>
  <r>
    <s v="ORD-488"/>
    <s v="Scott Bakula"/>
    <s v="Warner Robins"/>
    <x v="17"/>
    <x v="2"/>
    <s v="Table"/>
    <x v="217"/>
    <n v="1"/>
    <n v="0.1"/>
    <n v="70"/>
    <x v="1"/>
    <d v="2024-05-16T00:00:00"/>
    <x v="18"/>
    <n v="0.18041237113402062"/>
  </r>
  <r>
    <s v="ORD-489"/>
    <s v="Lucas Black"/>
    <s v="Albany"/>
    <x v="17"/>
    <x v="0"/>
    <s v="Monitor"/>
    <x v="218"/>
    <n v="2"/>
    <n v="0.05"/>
    <n v="60"/>
    <x v="0"/>
    <d v="2024-05-17T00:00:00"/>
    <x v="18"/>
    <n v="0.20833333333333334"/>
  </r>
  <r>
    <s v="ORD-490"/>
    <s v="Zoe Mclellan"/>
    <s v="Alpharetta"/>
    <x v="17"/>
    <x v="1"/>
    <s v="Jacket"/>
    <x v="215"/>
    <n v="1"/>
    <n v="0"/>
    <n v="55"/>
    <x v="1"/>
    <d v="2024-05-18T00:00:00"/>
    <x v="18"/>
    <n v="0.29255319148936171"/>
  </r>
  <r>
    <s v="ORD-491"/>
    <s v="Rob Kerkovich"/>
    <s v="Marietta"/>
    <x v="17"/>
    <x v="2"/>
    <s v="Bookshelf"/>
    <x v="219"/>
    <n v="1"/>
    <n v="0.1"/>
    <n v="50"/>
    <x v="0"/>
    <d v="2024-05-19T00:00:00"/>
    <x v="18"/>
    <n v="0.21008403361344538"/>
  </r>
  <r>
    <s v="ORD-492"/>
    <s v="Cch Pounder"/>
    <s v="Smyrna"/>
    <x v="17"/>
    <x v="0"/>
    <s v="Smartwatch"/>
    <x v="219"/>
    <n v="1"/>
    <n v="0"/>
    <n v="70"/>
    <x v="1"/>
    <d v="2024-05-20T00:00:00"/>
    <x v="18"/>
    <n v="0.29411764705882354"/>
  </r>
  <r>
    <s v="ORD-493"/>
    <s v="Daryl Mitchell"/>
    <s v="Valdosta"/>
    <x v="17"/>
    <x v="1"/>
    <s v="Sweater"/>
    <x v="134"/>
    <n v="2"/>
    <n v="0.1"/>
    <n v="26"/>
    <x v="0"/>
    <d v="2024-05-21T00:00:00"/>
    <x v="18"/>
    <n v="0.28888888888888886"/>
  </r>
  <r>
    <s v="ORD-494"/>
    <s v="Shalita Grant"/>
    <s v="Unknown"/>
    <x v="17"/>
    <x v="2"/>
    <s v="Bed"/>
    <x v="191"/>
    <n v="1"/>
    <n v="0.2"/>
    <n v="188"/>
    <x v="1"/>
    <d v="2024-05-22T00:00:00"/>
    <x v="18"/>
    <n v="0.14461538461538462"/>
  </r>
  <r>
    <s v="ORD-495"/>
    <s v="Vanessa Ferlito"/>
    <s v="Dunwoody"/>
    <x v="17"/>
    <x v="0"/>
    <s v="Camera"/>
    <x v="7"/>
    <n v="1"/>
    <n v="0"/>
    <n v="118"/>
    <x v="0"/>
    <d v="2024-05-23T00:00:00"/>
    <x v="18"/>
    <n v="0.13111111111111112"/>
  </r>
  <r>
    <s v="ORD-496"/>
    <s v="Chris O'Donnell"/>
    <s v="Rome"/>
    <x v="17"/>
    <x v="1"/>
    <s v="Shorts"/>
    <x v="11"/>
    <n v="3"/>
    <n v="0"/>
    <n v="20"/>
    <x v="1"/>
    <d v="2024-05-24T00:00:00"/>
    <x v="18"/>
    <n v="0.33333333333333331"/>
  </r>
  <r>
    <s v="ORD-498"/>
    <s v="Daniela Ruah"/>
    <s v="Gainesville"/>
    <x v="17"/>
    <x v="0"/>
    <s v="Router"/>
    <x v="220"/>
    <n v="2"/>
    <n v="0.1"/>
    <n v="43"/>
    <x v="1"/>
    <d v="2024-05-26T00:00:00"/>
    <x v="18"/>
    <n v="0.39090909090909093"/>
  </r>
  <r>
    <s v="ORD-499"/>
    <s v="Eric Christian Olsen"/>
    <s v="East Point"/>
    <x v="17"/>
    <x v="1"/>
    <s v="Socks"/>
    <x v="175"/>
    <n v="5"/>
    <n v="0"/>
    <n v="20"/>
    <x v="0"/>
    <d v="2024-05-27T00:00:00"/>
    <x v="18"/>
    <n v="0.46511627906976744"/>
  </r>
  <r>
    <s v="ORD-500"/>
    <s v="Linda Hunt"/>
    <s v="Newnan"/>
    <x v="17"/>
    <x v="2"/>
    <s v="Stool"/>
    <x v="132"/>
    <n v="4"/>
    <n v="0"/>
    <n v="26"/>
    <x v="1"/>
    <d v="2024-05-28T00:00:00"/>
    <x v="18"/>
    <n v="0.37142857142857144"/>
  </r>
  <r>
    <s v="ORD-501"/>
    <s v="Renée Felice Smith"/>
    <s v="Dalton"/>
    <x v="17"/>
    <x v="0"/>
    <s v="Keyboard"/>
    <x v="15"/>
    <n v="2"/>
    <n v="0"/>
    <n v="26"/>
    <x v="0"/>
    <d v="2024-05-29T00:00:00"/>
    <x v="18"/>
    <n v="0.32500000000000001"/>
  </r>
  <r>
    <s v="ORD-502"/>
    <s v="Barrett Foa"/>
    <s v="Unknown"/>
    <x v="17"/>
    <x v="1"/>
    <s v="Hat"/>
    <x v="3"/>
    <n v="1"/>
    <n v="0"/>
    <n v="20"/>
    <x v="1"/>
    <d v="2024-05-30T00:00:00"/>
    <x v="18"/>
    <n v="0.4"/>
  </r>
  <r>
    <s v="ORD-503"/>
    <s v="Miguel Ferrer"/>
    <s v="Hinesville"/>
    <x v="17"/>
    <x v="2"/>
    <s v="Lamp"/>
    <x v="134"/>
    <n v="2"/>
    <n v="0.1"/>
    <n v="26"/>
    <x v="0"/>
    <d v="2024-05-31T00:00:00"/>
    <x v="18"/>
    <n v="0.28888888888888886"/>
  </r>
  <r>
    <s v="ORD-504"/>
    <s v="Nia Long"/>
    <s v="Peachtree City"/>
    <x v="17"/>
    <x v="0"/>
    <s v="Mouse"/>
    <x v="21"/>
    <n v="3"/>
    <n v="0"/>
    <n v="20"/>
    <x v="1"/>
    <d v="2024-01-06T00:00:00"/>
    <x v="13"/>
    <n v="0.363636363636363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D82952-DAFD-4B5A-A939-2B32DDB4DD8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Segment">
  <location ref="F12:H14" firstHeaderRow="0" firstDataRow="1" firstDataCol="1"/>
  <pivotFields count="14">
    <pivotField showAll="0"/>
    <pivotField showAll="0"/>
    <pivotField showAll="0"/>
    <pivotField showAll="0">
      <items count="20">
        <item h="1" x="4"/>
        <item x="1"/>
        <item h="1" x="11"/>
        <item h="1" x="18"/>
        <item h="1" x="6"/>
        <item h="1" x="17"/>
        <item h="1" x="2"/>
        <item h="1" x="9"/>
        <item h="1" x="16"/>
        <item h="1" x="12"/>
        <item h="1" x="14"/>
        <item h="1" x="8"/>
        <item h="1" x="0"/>
        <item h="1" x="7"/>
        <item h="1" x="15"/>
        <item h="1" x="5"/>
        <item h="1" x="13"/>
        <item h="1" x="3"/>
        <item h="1" x="10"/>
        <item t="default"/>
      </items>
    </pivotField>
    <pivotField axis="axisRow" showAll="0" sortType="descending">
      <items count="4">
        <item h="1" x="1"/>
        <item x="0"/>
        <item h="1" x="2"/>
        <item t="default"/>
      </items>
      <autoSortScope>
        <pivotArea dataOnly="0" outline="0" fieldPosition="0">
          <references count="1">
            <reference field="4294967294" count="1" selected="0">
              <x v="0"/>
            </reference>
          </references>
        </pivotArea>
      </autoSortScope>
    </pivotField>
    <pivotField showAll="0"/>
    <pivotField dataField="1" showAll="0">
      <items count="222">
        <item x="16"/>
        <item x="52"/>
        <item x="88"/>
        <item x="33"/>
        <item x="106"/>
        <item x="18"/>
        <item x="54"/>
        <item x="35"/>
        <item x="135"/>
        <item x="57"/>
        <item x="1"/>
        <item x="55"/>
        <item x="92"/>
        <item x="36"/>
        <item x="90"/>
        <item x="14"/>
        <item x="70"/>
        <item x="50"/>
        <item x="123"/>
        <item x="86"/>
        <item x="31"/>
        <item x="104"/>
        <item x="146"/>
        <item x="120"/>
        <item x="157"/>
        <item x="17"/>
        <item x="72"/>
        <item x="53"/>
        <item x="175"/>
        <item x="89"/>
        <item x="34"/>
        <item x="107"/>
        <item x="190"/>
        <item x="122"/>
        <item x="198"/>
        <item x="3"/>
        <item x="59"/>
        <item x="39"/>
        <item x="213"/>
        <item x="75"/>
        <item x="21"/>
        <item x="94"/>
        <item x="110"/>
        <item x="11"/>
        <item x="67"/>
        <item x="47"/>
        <item x="83"/>
        <item x="28"/>
        <item x="101"/>
        <item x="117"/>
        <item x="132"/>
        <item x="142"/>
        <item x="153"/>
        <item x="6"/>
        <item x="62"/>
        <item x="42"/>
        <item x="78"/>
        <item x="15"/>
        <item x="71"/>
        <item x="51"/>
        <item x="87"/>
        <item x="32"/>
        <item x="105"/>
        <item x="121"/>
        <item x="134"/>
        <item x="145"/>
        <item x="156"/>
        <item x="166"/>
        <item x="174"/>
        <item x="182"/>
        <item x="189"/>
        <item x="197"/>
        <item x="205"/>
        <item x="212"/>
        <item x="220"/>
        <item x="4"/>
        <item x="60"/>
        <item x="40"/>
        <item x="76"/>
        <item x="22"/>
        <item x="95"/>
        <item x="111"/>
        <item x="126"/>
        <item x="137"/>
        <item x="148"/>
        <item x="159"/>
        <item x="168"/>
        <item x="177"/>
        <item x="184"/>
        <item x="192"/>
        <item x="200"/>
        <item x="207"/>
        <item x="215"/>
        <item x="10"/>
        <item x="66"/>
        <item x="46"/>
        <item x="82"/>
        <item x="27"/>
        <item x="100"/>
        <item x="116"/>
        <item x="131"/>
        <item x="141"/>
        <item x="152"/>
        <item x="163"/>
        <item x="172"/>
        <item x="181"/>
        <item x="188"/>
        <item x="196"/>
        <item x="204"/>
        <item x="211"/>
        <item x="219"/>
        <item x="9"/>
        <item x="65"/>
        <item x="45"/>
        <item x="81"/>
        <item x="26"/>
        <item x="99"/>
        <item x="115"/>
        <item x="130"/>
        <item x="140"/>
        <item x="151"/>
        <item x="162"/>
        <item x="171"/>
        <item x="180"/>
        <item x="187"/>
        <item x="195"/>
        <item x="203"/>
        <item x="210"/>
        <item x="218"/>
        <item x="5"/>
        <item x="61"/>
        <item x="41"/>
        <item x="77"/>
        <item x="23"/>
        <item x="96"/>
        <item x="112"/>
        <item x="127"/>
        <item x="138"/>
        <item x="149"/>
        <item x="160"/>
        <item x="169"/>
        <item x="178"/>
        <item x="185"/>
        <item x="193"/>
        <item x="201"/>
        <item x="208"/>
        <item x="216"/>
        <item x="8"/>
        <item x="64"/>
        <item x="44"/>
        <item x="80"/>
        <item x="25"/>
        <item x="98"/>
        <item x="114"/>
        <item x="129"/>
        <item x="139"/>
        <item x="150"/>
        <item x="161"/>
        <item x="170"/>
        <item x="179"/>
        <item x="186"/>
        <item x="194"/>
        <item x="202"/>
        <item x="209"/>
        <item x="217"/>
        <item x="13"/>
        <item x="69"/>
        <item x="49"/>
        <item x="85"/>
        <item x="30"/>
        <item x="103"/>
        <item x="119"/>
        <item x="133"/>
        <item x="144"/>
        <item x="155"/>
        <item x="165"/>
        <item x="173"/>
        <item x="2"/>
        <item x="58"/>
        <item x="38"/>
        <item x="74"/>
        <item x="93"/>
        <item x="20"/>
        <item x="109"/>
        <item x="125"/>
        <item x="7"/>
        <item x="63"/>
        <item x="43"/>
        <item x="79"/>
        <item x="24"/>
        <item x="97"/>
        <item x="113"/>
        <item x="128"/>
        <item x="12"/>
        <item x="68"/>
        <item x="48"/>
        <item x="84"/>
        <item x="29"/>
        <item x="102"/>
        <item x="118"/>
        <item x="19"/>
        <item x="143"/>
        <item x="154"/>
        <item x="37"/>
        <item x="164"/>
        <item x="56"/>
        <item x="73"/>
        <item x="0"/>
        <item x="91"/>
        <item x="108"/>
        <item x="124"/>
        <item x="136"/>
        <item x="147"/>
        <item x="158"/>
        <item x="167"/>
        <item x="176"/>
        <item x="183"/>
        <item x="191"/>
        <item x="199"/>
        <item x="206"/>
        <item x="214"/>
        <item t="default"/>
      </items>
    </pivotField>
    <pivotField showAll="0"/>
    <pivotField showAll="0"/>
    <pivotField showAll="0"/>
    <pivotField showAll="0">
      <items count="3">
        <item h="1" x="1"/>
        <item x="0"/>
        <item t="default"/>
      </items>
    </pivotField>
    <pivotField showAll="0"/>
    <pivotField showAll="0">
      <items count="26">
        <item x="7"/>
        <item x="20"/>
        <item x="8"/>
        <item x="16"/>
        <item x="6"/>
        <item x="24"/>
        <item x="1"/>
        <item x="14"/>
        <item x="12"/>
        <item x="0"/>
        <item x="13"/>
        <item x="10"/>
        <item x="21"/>
        <item x="2"/>
        <item x="23"/>
        <item x="5"/>
        <item x="15"/>
        <item x="9"/>
        <item x="18"/>
        <item x="4"/>
        <item x="17"/>
        <item x="11"/>
        <item x="19"/>
        <item x="3"/>
        <item x="22"/>
        <item t="default"/>
      </items>
    </pivotField>
    <pivotField dataField="1" numFmtId="9" showAll="0"/>
  </pivotFields>
  <rowFields count="1">
    <field x="4"/>
  </rowFields>
  <rowItems count="2">
    <i>
      <x v="1"/>
    </i>
    <i t="grand">
      <x/>
    </i>
  </rowItems>
  <colFields count="1">
    <field x="-2"/>
  </colFields>
  <colItems count="2">
    <i>
      <x/>
    </i>
    <i i="1">
      <x v="1"/>
    </i>
  </colItems>
  <dataFields count="2">
    <dataField name="Revenue" fld="6" baseField="4" baseItem="0" numFmtId="164"/>
    <dataField name="AVg Profit Margin" fld="13" subtotal="average" baseField="4" baseItem="0" numFmtId="9"/>
  </dataFields>
  <formats count="13">
    <format dxfId="2462">
      <pivotArea dataOnly="0" fieldPosition="0">
        <references count="1">
          <reference field="4" count="0"/>
        </references>
      </pivotArea>
    </format>
    <format dxfId="2461">
      <pivotArea dataOnly="0" fieldPosition="0">
        <references count="1">
          <reference field="4" count="0"/>
        </references>
      </pivotArea>
    </format>
    <format dxfId="2460">
      <pivotArea type="all" dataOnly="0" outline="0" fieldPosition="0"/>
    </format>
    <format dxfId="2459">
      <pivotArea outline="0" collapsedLevelsAreSubtotals="1" fieldPosition="0"/>
    </format>
    <format dxfId="2458">
      <pivotArea field="4" type="button" dataOnly="0" labelOnly="1" outline="0" axis="axisRow" fieldPosition="0"/>
    </format>
    <format dxfId="2457">
      <pivotArea dataOnly="0" labelOnly="1" fieldPosition="0">
        <references count="1">
          <reference field="4" count="0"/>
        </references>
      </pivotArea>
    </format>
    <format dxfId="2456">
      <pivotArea dataOnly="0" labelOnly="1" grandRow="1" outline="0" fieldPosition="0"/>
    </format>
    <format dxfId="2455">
      <pivotArea type="all" dataOnly="0" outline="0" fieldPosition="0"/>
    </format>
    <format dxfId="2454">
      <pivotArea outline="0" collapsedLevelsAreSubtotals="1" fieldPosition="0"/>
    </format>
    <format dxfId="2453">
      <pivotArea field="4" type="button" dataOnly="0" labelOnly="1" outline="0" axis="axisRow" fieldPosition="0"/>
    </format>
    <format dxfId="2452">
      <pivotArea dataOnly="0" labelOnly="1" fieldPosition="0">
        <references count="1">
          <reference field="4" count="0"/>
        </references>
      </pivotArea>
    </format>
    <format dxfId="2451">
      <pivotArea dataOnly="0" labelOnly="1" grandRow="1" outline="0" fieldPosition="0"/>
    </format>
    <format dxfId="2450">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5FCFA2-393F-4AA0-8D20-9C6E5F71BAA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ales Channel">
  <location ref="K3:L5" firstHeaderRow="1" firstDataRow="1" firstDataCol="1"/>
  <pivotFields count="14">
    <pivotField showAll="0"/>
    <pivotField showAll="0"/>
    <pivotField showAll="0"/>
    <pivotField showAll="0">
      <items count="20">
        <item h="1" x="4"/>
        <item x="1"/>
        <item h="1" x="11"/>
        <item h="1" x="18"/>
        <item h="1" x="6"/>
        <item h="1" x="17"/>
        <item h="1" x="2"/>
        <item h="1" x="9"/>
        <item h="1" x="16"/>
        <item h="1" x="12"/>
        <item h="1" x="14"/>
        <item h="1" x="8"/>
        <item h="1" x="0"/>
        <item h="1" x="7"/>
        <item h="1" x="15"/>
        <item h="1" x="5"/>
        <item h="1" x="13"/>
        <item h="1" x="3"/>
        <item h="1" x="10"/>
        <item t="default"/>
      </items>
    </pivotField>
    <pivotField showAll="0">
      <items count="4">
        <item h="1" x="1"/>
        <item x="0"/>
        <item h="1" x="2"/>
        <item t="default"/>
      </items>
    </pivotField>
    <pivotField showAll="0"/>
    <pivotField showAll="0"/>
    <pivotField dataField="1" showAll="0"/>
    <pivotField showAll="0"/>
    <pivotField showAll="0"/>
    <pivotField axis="axisRow" showAll="0">
      <items count="3">
        <item h="1" x="1"/>
        <item x="0"/>
        <item t="default"/>
      </items>
    </pivotField>
    <pivotField showAll="0"/>
    <pivotField showAll="0">
      <items count="26">
        <item x="7"/>
        <item x="20"/>
        <item x="8"/>
        <item x="16"/>
        <item x="6"/>
        <item x="24"/>
        <item x="1"/>
        <item x="14"/>
        <item x="12"/>
        <item x="0"/>
        <item x="13"/>
        <item x="10"/>
        <item x="21"/>
        <item x="2"/>
        <item x="23"/>
        <item x="5"/>
        <item x="15"/>
        <item x="9"/>
        <item x="18"/>
        <item x="4"/>
        <item x="17"/>
        <item x="11"/>
        <item x="19"/>
        <item x="3"/>
        <item x="22"/>
        <item t="default"/>
      </items>
    </pivotField>
    <pivotField numFmtId="9" showAll="0"/>
  </pivotFields>
  <rowFields count="1">
    <field x="10"/>
  </rowFields>
  <rowItems count="2">
    <i>
      <x v="1"/>
    </i>
    <i t="grand">
      <x/>
    </i>
  </rowItems>
  <colItems count="1">
    <i/>
  </colItems>
  <dataFields count="1">
    <dataField name="Units Sold" fld="7" baseField="10" baseItem="0"/>
  </dataFields>
  <formats count="15">
    <format dxfId="2477">
      <pivotArea dataOnly="0" fieldPosition="0">
        <references count="1">
          <reference field="10" count="0"/>
        </references>
      </pivotArea>
    </format>
    <format dxfId="2476">
      <pivotArea dataOnly="0" fieldPosition="0">
        <references count="1">
          <reference field="10" count="0"/>
        </references>
      </pivotArea>
    </format>
    <format dxfId="2475">
      <pivotArea dataOnly="0" fieldPosition="0">
        <references count="1">
          <reference field="10" count="0"/>
        </references>
      </pivotArea>
    </format>
    <format dxfId="2474">
      <pivotArea type="all" dataOnly="0" outline="0" fieldPosition="0"/>
    </format>
    <format dxfId="2473">
      <pivotArea outline="0" collapsedLevelsAreSubtotals="1" fieldPosition="0"/>
    </format>
    <format dxfId="2472">
      <pivotArea field="10" type="button" dataOnly="0" labelOnly="1" outline="0" axis="axisRow" fieldPosition="0"/>
    </format>
    <format dxfId="2471">
      <pivotArea dataOnly="0" labelOnly="1" fieldPosition="0">
        <references count="1">
          <reference field="10" count="0"/>
        </references>
      </pivotArea>
    </format>
    <format dxfId="2470">
      <pivotArea dataOnly="0" labelOnly="1" grandRow="1" outline="0" fieldPosition="0"/>
    </format>
    <format dxfId="2469">
      <pivotArea dataOnly="0" labelOnly="1" outline="0" axis="axisValues" fieldPosition="0"/>
    </format>
    <format dxfId="2468">
      <pivotArea type="all" dataOnly="0" outline="0" fieldPosition="0"/>
    </format>
    <format dxfId="2467">
      <pivotArea outline="0" collapsedLevelsAreSubtotals="1" fieldPosition="0"/>
    </format>
    <format dxfId="2466">
      <pivotArea field="10" type="button" dataOnly="0" labelOnly="1" outline="0" axis="axisRow" fieldPosition="0"/>
    </format>
    <format dxfId="2465">
      <pivotArea dataOnly="0" labelOnly="1" fieldPosition="0">
        <references count="1">
          <reference field="10" count="0"/>
        </references>
      </pivotArea>
    </format>
    <format dxfId="2464">
      <pivotArea dataOnly="0" labelOnly="1" grandRow="1" outline="0" fieldPosition="0"/>
    </format>
    <format dxfId="246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0" count="1" selected="0">
            <x v="0"/>
          </reference>
        </references>
      </pivotArea>
    </chartFormat>
    <chartFormat chart="19"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06E19D-7BEA-451E-AF86-6CD0FDB3CDB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Segment">
  <location ref="F3:H5" firstHeaderRow="0" firstDataRow="1" firstDataCol="1"/>
  <pivotFields count="14">
    <pivotField showAll="0"/>
    <pivotField showAll="0"/>
    <pivotField showAll="0"/>
    <pivotField showAll="0">
      <items count="20">
        <item h="1" x="4"/>
        <item x="1"/>
        <item h="1" x="11"/>
        <item h="1" x="18"/>
        <item h="1" x="6"/>
        <item h="1" x="17"/>
        <item h="1" x="2"/>
        <item h="1" x="9"/>
        <item h="1" x="16"/>
        <item h="1" x="12"/>
        <item h="1" x="14"/>
        <item h="1" x="8"/>
        <item h="1" x="0"/>
        <item h="1" x="7"/>
        <item h="1" x="15"/>
        <item h="1" x="5"/>
        <item h="1" x="13"/>
        <item h="1" x="3"/>
        <item h="1" x="10"/>
        <item t="default"/>
      </items>
    </pivotField>
    <pivotField axis="axisRow" showAll="0" sortType="descending">
      <items count="4">
        <item h="1" x="1"/>
        <item x="0"/>
        <item h="1"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showAll="0"/>
    <pivotField showAll="0">
      <items count="3">
        <item h="1" x="1"/>
        <item x="0"/>
        <item t="default"/>
      </items>
    </pivotField>
    <pivotField showAll="0"/>
    <pivotField showAll="0">
      <items count="26">
        <item x="7"/>
        <item x="20"/>
        <item x="8"/>
        <item x="16"/>
        <item x="6"/>
        <item x="24"/>
        <item x="1"/>
        <item x="14"/>
        <item x="12"/>
        <item x="0"/>
        <item x="13"/>
        <item x="10"/>
        <item x="21"/>
        <item x="2"/>
        <item x="23"/>
        <item x="5"/>
        <item x="15"/>
        <item x="9"/>
        <item x="18"/>
        <item x="4"/>
        <item x="17"/>
        <item x="11"/>
        <item x="19"/>
        <item x="3"/>
        <item x="22"/>
        <item t="default"/>
      </items>
    </pivotField>
    <pivotField numFmtId="9" showAll="0"/>
  </pivotFields>
  <rowFields count="1">
    <field x="4"/>
  </rowFields>
  <rowItems count="2">
    <i>
      <x v="1"/>
    </i>
    <i t="grand">
      <x/>
    </i>
  </rowItems>
  <colFields count="1">
    <field x="-2"/>
  </colFields>
  <colItems count="2">
    <i>
      <x/>
    </i>
    <i i="1">
      <x v="1"/>
    </i>
  </colItems>
  <dataFields count="2">
    <dataField name="Revenue" fld="6" baseField="4" baseItem="1" numFmtId="164"/>
    <dataField name="Net Profit" fld="9" baseField="4" baseItem="1" numFmtId="164"/>
  </dataFields>
  <formats count="14">
    <format dxfId="2491">
      <pivotArea dataOnly="0" fieldPosition="0">
        <references count="1">
          <reference field="4" count="0"/>
        </references>
      </pivotArea>
    </format>
    <format dxfId="2490">
      <pivotArea dataOnly="0" fieldPosition="0">
        <references count="1">
          <reference field="4" count="0"/>
        </references>
      </pivotArea>
    </format>
    <format dxfId="2489">
      <pivotArea type="all" dataOnly="0" outline="0" fieldPosition="0"/>
    </format>
    <format dxfId="2488">
      <pivotArea outline="0" collapsedLevelsAreSubtotals="1" fieldPosition="0"/>
    </format>
    <format dxfId="2487">
      <pivotArea field="4" type="button" dataOnly="0" labelOnly="1" outline="0" axis="axisRow" fieldPosition="0"/>
    </format>
    <format dxfId="2486">
      <pivotArea dataOnly="0" labelOnly="1" fieldPosition="0">
        <references count="1">
          <reference field="4" count="0"/>
        </references>
      </pivotArea>
    </format>
    <format dxfId="2485">
      <pivotArea dataOnly="0" labelOnly="1" grandRow="1" outline="0" fieldPosition="0"/>
    </format>
    <format dxfId="2484">
      <pivotArea dataOnly="0" labelOnly="1" outline="0" fieldPosition="0">
        <references count="1">
          <reference field="4294967294" count="2">
            <x v="0"/>
            <x v="1"/>
          </reference>
        </references>
      </pivotArea>
    </format>
    <format dxfId="2483">
      <pivotArea type="all" dataOnly="0" outline="0" fieldPosition="0"/>
    </format>
    <format dxfId="2482">
      <pivotArea outline="0" collapsedLevelsAreSubtotals="1" fieldPosition="0"/>
    </format>
    <format dxfId="2481">
      <pivotArea field="4" type="button" dataOnly="0" labelOnly="1" outline="0" axis="axisRow" fieldPosition="0"/>
    </format>
    <format dxfId="2480">
      <pivotArea dataOnly="0" labelOnly="1" fieldPosition="0">
        <references count="1">
          <reference field="4" count="0"/>
        </references>
      </pivotArea>
    </format>
    <format dxfId="2479">
      <pivotArea dataOnly="0" labelOnly="1" grandRow="1" outline="0" fieldPosition="0"/>
    </format>
    <format dxfId="2478">
      <pivotArea dataOnly="0" labelOnly="1" outline="0" fieldPosition="0">
        <references count="1">
          <reference field="4294967294" count="2">
            <x v="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A78B6C-E232-4D27-993C-9CAE62147FA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porting Period">
  <location ref="A3:C7" firstHeaderRow="0" firstDataRow="1" firstDataCol="1"/>
  <pivotFields count="14">
    <pivotField showAll="0"/>
    <pivotField showAll="0"/>
    <pivotField showAll="0"/>
    <pivotField showAll="0">
      <items count="20">
        <item h="1" x="4"/>
        <item x="1"/>
        <item h="1" x="11"/>
        <item h="1" x="18"/>
        <item h="1" x="6"/>
        <item h="1" x="17"/>
        <item h="1" x="2"/>
        <item h="1" x="9"/>
        <item h="1" x="16"/>
        <item h="1" x="12"/>
        <item h="1" x="14"/>
        <item h="1" x="8"/>
        <item h="1" x="0"/>
        <item h="1" x="7"/>
        <item h="1" x="15"/>
        <item h="1" x="5"/>
        <item h="1" x="13"/>
        <item h="1" x="3"/>
        <item h="1" x="10"/>
        <item t="default"/>
      </items>
    </pivotField>
    <pivotField showAll="0">
      <items count="4">
        <item h="1" x="1"/>
        <item x="0"/>
        <item h="1" x="2"/>
        <item t="default"/>
      </items>
    </pivotField>
    <pivotField showAll="0"/>
    <pivotField dataField="1" showAll="0"/>
    <pivotField showAll="0"/>
    <pivotField showAll="0"/>
    <pivotField dataField="1" showAll="0"/>
    <pivotField showAll="0">
      <items count="3">
        <item h="1" x="1"/>
        <item x="0"/>
        <item t="default"/>
      </items>
    </pivotField>
    <pivotField showAll="0"/>
    <pivotField axis="axisRow" showAll="0" sortType="descending">
      <items count="26">
        <item x="7"/>
        <item x="20"/>
        <item x="8"/>
        <item x="16"/>
        <item x="6"/>
        <item x="24"/>
        <item x="1"/>
        <item x="14"/>
        <item x="12"/>
        <item x="0"/>
        <item x="13"/>
        <item x="10"/>
        <item x="21"/>
        <item x="2"/>
        <item x="23"/>
        <item x="5"/>
        <item x="15"/>
        <item x="9"/>
        <item x="18"/>
        <item x="4"/>
        <item x="17"/>
        <item x="11"/>
        <item x="19"/>
        <item x="3"/>
        <item x="22"/>
        <item t="default"/>
      </items>
      <autoSortScope>
        <pivotArea dataOnly="0" outline="0" fieldPosition="0">
          <references count="1">
            <reference field="4294967294" count="1" selected="0">
              <x v="0"/>
            </reference>
          </references>
        </pivotArea>
      </autoSortScope>
    </pivotField>
    <pivotField numFmtId="9" showAll="0"/>
  </pivotFields>
  <rowFields count="1">
    <field x="12"/>
  </rowFields>
  <rowItems count="4">
    <i>
      <x v="15"/>
    </i>
    <i>
      <x v="4"/>
    </i>
    <i>
      <x/>
    </i>
    <i t="grand">
      <x/>
    </i>
  </rowItems>
  <colFields count="1">
    <field x="-2"/>
  </colFields>
  <colItems count="2">
    <i>
      <x/>
    </i>
    <i i="1">
      <x v="1"/>
    </i>
  </colItems>
  <dataFields count="2">
    <dataField name="Revenue" fld="6" baseField="12" baseItem="8" numFmtId="164"/>
    <dataField name="Net Profit" fld="9" baseField="12" baseItem="8" numFmtId="164"/>
  </dataFields>
  <formats count="14">
    <format dxfId="2505">
      <pivotArea dataOnly="0" fieldPosition="0">
        <references count="1">
          <reference field="12" count="0"/>
        </references>
      </pivotArea>
    </format>
    <format dxfId="2504">
      <pivotArea dataOnly="0" fieldPosition="0">
        <references count="1">
          <reference field="12" count="0"/>
        </references>
      </pivotArea>
    </format>
    <format dxfId="2503">
      <pivotArea type="all" dataOnly="0" outline="0" fieldPosition="0"/>
    </format>
    <format dxfId="2502">
      <pivotArea outline="0" collapsedLevelsAreSubtotals="1" fieldPosition="0"/>
    </format>
    <format dxfId="2501">
      <pivotArea field="12" type="button" dataOnly="0" labelOnly="1" outline="0" axis="axisRow" fieldPosition="0"/>
    </format>
    <format dxfId="2500">
      <pivotArea dataOnly="0" labelOnly="1" fieldPosition="0">
        <references count="1">
          <reference field="12" count="0"/>
        </references>
      </pivotArea>
    </format>
    <format dxfId="2499">
      <pivotArea dataOnly="0" labelOnly="1" grandRow="1" outline="0" fieldPosition="0"/>
    </format>
    <format dxfId="2498">
      <pivotArea dataOnly="0" labelOnly="1" outline="0" fieldPosition="0">
        <references count="1">
          <reference field="4294967294" count="2">
            <x v="0"/>
            <x v="1"/>
          </reference>
        </references>
      </pivotArea>
    </format>
    <format dxfId="2497">
      <pivotArea type="all" dataOnly="0" outline="0" fieldPosition="0"/>
    </format>
    <format dxfId="2496">
      <pivotArea outline="0" collapsedLevelsAreSubtotals="1" fieldPosition="0"/>
    </format>
    <format dxfId="2495">
      <pivotArea field="12" type="button" dataOnly="0" labelOnly="1" outline="0" axis="axisRow" fieldPosition="0"/>
    </format>
    <format dxfId="2494">
      <pivotArea dataOnly="0" labelOnly="1" fieldPosition="0">
        <references count="1">
          <reference field="12" count="0"/>
        </references>
      </pivotArea>
    </format>
    <format dxfId="2493">
      <pivotArea dataOnly="0" labelOnly="1" grandRow="1" outline="0" fieldPosition="0"/>
    </format>
    <format dxfId="2492">
      <pivotArea dataOnly="0" labelOnly="1" outline="0" fieldPosition="0">
        <references count="1">
          <reference field="4294967294" count="2">
            <x v="0"/>
            <x v="1"/>
          </reference>
        </references>
      </pivotArea>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067633CE-528E-4029-AB1B-EB67FDFDB054}" autoFormatId="16" applyNumberFormats="0" applyBorderFormats="0" applyFontFormats="0" applyPatternFormats="0" applyAlignmentFormats="0" applyWidthHeightFormats="0">
  <queryTableRefresh nextId="15" unboundColumnsRight="2">
    <queryTableFields count="14">
      <queryTableField id="1" name="order ID" tableColumnId="1"/>
      <queryTableField id="2" name="Customer Name" tableColumnId="2"/>
      <queryTableField id="3" name=" City" tableColumnId="3"/>
      <queryTableField id="4" name="State" tableColumnId="4"/>
      <queryTableField id="5" name="Category" tableColumnId="5"/>
      <queryTableField id="6" name="Product Name" tableColumnId="6"/>
      <queryTableField id="7" name="Sales Amount" tableColumnId="7"/>
      <queryTableField id="8" name="Quantity" tableColumnId="8"/>
      <queryTableField id="9" name="Discount" tableColumnId="9"/>
      <queryTableField id="10" name="Profit" tableColumnId="10"/>
      <queryTableField id="11" name="Sales Channel" tableColumnId="11"/>
      <queryTableField id="12" name="Date"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B2CB50F-7A37-4F73-AF3D-FD011F728AB0}" sourceName="State">
  <pivotTables>
    <pivotTable tabId="8" name="PivotTable1"/>
    <pivotTable tabId="8" name="PivotTable2"/>
    <pivotTable tabId="8" name="PivotTable3"/>
    <pivotTable tabId="8" name="PivotTable4"/>
  </pivotTables>
  <data>
    <tabular pivotCacheId="1374632010">
      <items count="19">
        <i x="4"/>
        <i x="1" s="1"/>
        <i x="11"/>
        <i x="18"/>
        <i x="6"/>
        <i x="17"/>
        <i x="2"/>
        <i x="16"/>
        <i x="12"/>
        <i x="14"/>
        <i x="8"/>
        <i x="0"/>
        <i x="7"/>
        <i x="15"/>
        <i x="5"/>
        <i x="13"/>
        <i x="3"/>
        <i x="10"/>
        <i x="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98B775-25E7-4804-BA79-9640F828CA19}" sourceName="Category">
  <pivotTables>
    <pivotTable tabId="8" name="PivotTable1"/>
    <pivotTable tabId="8" name="PivotTable2"/>
    <pivotTable tabId="8" name="PivotTable3"/>
    <pivotTable tabId="8" name="PivotTable4"/>
  </pivotTables>
  <data>
    <tabular pivotCacheId="1374632010">
      <items count="3">
        <i x="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BDFD76A-1420-42BE-84A9-7D8CD12BD20D}" sourceName="Sales Channel">
  <pivotTables>
    <pivotTable tabId="8" name="PivotTable1"/>
    <pivotTable tabId="8" name="PivotTable2"/>
    <pivotTable tabId="8" name="PivotTable3"/>
    <pivotTable tabId="8" name="PivotTable4"/>
  </pivotTables>
  <data>
    <tabular pivotCacheId="1374632010">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608912E-6D9F-4BE8-9F30-292A7E6832A4}" cache="Slicer_State" caption="State" rowHeight="234950"/>
  <slicer name="Category" xr10:uid="{C4B9A1E7-1FC2-4B1C-AD71-28255FC73367}" cache="Slicer_Category" caption="Category" rowHeight="234950"/>
  <slicer name="Sales Channel" xr10:uid="{9A64ED38-AD40-4F48-BBE9-D83C12D65F07}" cache="Slicer_Sales_Channel" caption="Sales Channel"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4434E9-6789-4493-85AB-DCD0A57B1F57}" name="retail_market3" displayName="retail_market3" ref="A1:L527" totalsRowShown="0">
  <autoFilter ref="A1:L527" xr:uid="{A3BE682C-9491-4BB0-A5BE-56F101BF3C1B}"/>
  <tableColumns count="12">
    <tableColumn id="1" xr3:uid="{4D6780FD-AD01-407D-9E6D-B80F53BBA842}" name="order ID" dataDxfId="2524"/>
    <tableColumn id="2" xr3:uid="{53D6D3F1-B7EC-4740-B2C7-4641E1A527D0}" name="Date" dataDxfId="2523"/>
    <tableColumn id="3" xr3:uid="{F47F22D0-F8A4-4B4D-98A8-0F30A388BF59}" name="Customer Name" dataDxfId="2522"/>
    <tableColumn id="4" xr3:uid="{71EADA17-A894-4CBB-88DA-A2E219F2BCB3}" name="City" dataDxfId="2521"/>
    <tableColumn id="5" xr3:uid="{C02C7556-E203-469B-8F53-7E19E31AFE36}" name="State" dataDxfId="2520"/>
    <tableColumn id="6" xr3:uid="{56024FC8-0044-4272-9FB1-5380F594E191}" name="Product Category" dataDxfId="2519"/>
    <tableColumn id="7" xr3:uid="{C9D9DF23-1858-45D5-BD3F-143AFFFD5189}" name="Product Name" dataDxfId="2518"/>
    <tableColumn id="8" xr3:uid="{0BB8A07C-6DF7-4383-A393-C2FD810315AC}" name="Sales Amount"/>
    <tableColumn id="9" xr3:uid="{1A214DF5-BF06-4F8C-9283-39F637D31FFA}" name="Quantity"/>
    <tableColumn id="10" xr3:uid="{9C5D3BB5-FCFF-4B90-AE7A-59714793A3B2}" name="Discount"/>
    <tableColumn id="11" xr3:uid="{351F9797-CCA0-42FF-AE1B-E7405C62304B}" name="Profit"/>
    <tableColumn id="12" xr3:uid="{8B042F06-906C-421B-97F4-2B4452E4646B}" name="Sales Channel" dataDxfId="25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9E0CBA-9707-4EC4-A042-48E25F6B475B}" name="working_data_1" displayName="working_data_1" ref="A1:L505" totalsRowShown="0">
  <autoFilter ref="A1:L505" xr:uid="{EF9E0CBA-9707-4EC4-A042-48E25F6B475B}">
    <filterColumn colId="7">
      <customFilters>
        <customFilter operator="greaterThan" val="0"/>
      </customFilters>
    </filterColumn>
  </autoFilter>
  <tableColumns count="12">
    <tableColumn id="1" xr3:uid="{3CDC748E-BDD2-492C-9309-6DEB8F361F7E}" name="order ID"/>
    <tableColumn id="2" xr3:uid="{5E0C9AE8-EDFF-4536-84BB-8FCD811AE5FE}" name="Customer Name"/>
    <tableColumn id="3" xr3:uid="{C3562DA5-8B5A-4028-B32E-A592B7D76111}" name=" City"/>
    <tableColumn id="4" xr3:uid="{3556C69F-DC36-4FA5-BC4A-3CD21FE8203B}" name="State"/>
    <tableColumn id="5" xr3:uid="{5F3FEC51-8802-4205-9476-8588B5F45A89}" name="Category"/>
    <tableColumn id="6" xr3:uid="{09774497-9D50-4E5C-B0A5-B742CBA849B9}" name="Product Name"/>
    <tableColumn id="7" xr3:uid="{12228FDC-6839-4A17-8D92-EF12432C9CC7}" name="Sales Amount"/>
    <tableColumn id="8" xr3:uid="{E229D483-CF34-4042-A75F-B2CE6ED3E7A3}" name="Quantity"/>
    <tableColumn id="9" xr3:uid="{C4B07FF1-3491-499A-BF0F-E5B58973B1B5}" name="Discount"/>
    <tableColumn id="10" xr3:uid="{C255B408-C6F0-49F5-8F90-DC0A73BE2CDD}" name="Profit"/>
    <tableColumn id="11" xr3:uid="{D8708623-2613-4F43-80A0-4C439D9D1068}" name="Sales Channel"/>
    <tableColumn id="12" xr3:uid="{E8E7F37B-DE3A-4706-81D1-A964BEDCCFF8}" name="Date" dataDxfId="25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2F5BC9-E150-4394-9FB3-EF5F3EBD27B2}" name="working_data_2" displayName="working_data_2" ref="A1:N433" tableType="queryTable" totalsRowShown="0">
  <autoFilter ref="A1:N433" xr:uid="{8A2F5BC9-E150-4394-9FB3-EF5F3EBD27B2}"/>
  <tableColumns count="14">
    <tableColumn id="1" xr3:uid="{546346F5-2965-4A0F-89B7-F33ABE993BE8}" uniqueName="1" name="order ID" queryTableFieldId="1" dataDxfId="2515"/>
    <tableColumn id="2" xr3:uid="{E06622F7-77F8-4FBE-B502-720A9FE40C53}" uniqueName="2" name="Customer Name" queryTableFieldId="2" dataDxfId="2514"/>
    <tableColumn id="3" xr3:uid="{C6B5077D-4B1C-4BD5-A4EF-1949D5BCEC53}" uniqueName="3" name=" City" queryTableFieldId="3" dataDxfId="2513"/>
    <tableColumn id="4" xr3:uid="{BAE1A0E4-D541-4C72-A19D-1C249747922B}" uniqueName="4" name="State" queryTableFieldId="4" dataDxfId="2512"/>
    <tableColumn id="5" xr3:uid="{3F43F943-7E17-45BA-B52B-930DF3A5DC2C}" uniqueName="5" name="Category" queryTableFieldId="5" dataDxfId="2511"/>
    <tableColumn id="6" xr3:uid="{158CE08B-5BFA-47E7-901C-5513AA41047E}" uniqueName="6" name="Product Name" queryTableFieldId="6" dataDxfId="2510"/>
    <tableColumn id="7" xr3:uid="{622EED24-4DF6-4346-8D0E-2820DF8E2E5E}" uniqueName="7" name="Sales Amount" queryTableFieldId="7"/>
    <tableColumn id="8" xr3:uid="{D95F03BC-9696-4DB5-AB27-83F62AD88E39}" uniqueName="8" name="Quantity" queryTableFieldId="8"/>
    <tableColumn id="9" xr3:uid="{5D4A824A-D2D7-42BA-99E9-1A54273729A3}" uniqueName="9" name="Discount" queryTableFieldId="9"/>
    <tableColumn id="10" xr3:uid="{F72C2CA6-2D5F-4944-985F-2420DD8E156A}" uniqueName="10" name="Profit" queryTableFieldId="10"/>
    <tableColumn id="11" xr3:uid="{10917C47-DB24-4E88-9228-8431C7817470}" uniqueName="11" name="Sales Channel" queryTableFieldId="11" dataDxfId="2509"/>
    <tableColumn id="12" xr3:uid="{B04524D8-13D3-4E0F-8CAC-16517DA8926E}" uniqueName="12" name="Date" queryTableFieldId="12" dataDxfId="2508"/>
    <tableColumn id="13" xr3:uid="{B3683737-9112-4D9D-8988-87604AD52285}" uniqueName="13" name="Month_Year" queryTableFieldId="13" dataDxfId="2507">
      <calculatedColumnFormula>TEXT(working_data_2[[#This Row],[Date]], "mmm-yy")</calculatedColumnFormula>
    </tableColumn>
    <tableColumn id="14" xr3:uid="{37A0B647-F264-4B30-9C8B-0E6326AFCBE3}" uniqueName="14" name="Profit_Margin" queryTableFieldId="14" dataDxfId="2506" dataCellStyle="Percent">
      <calculatedColumnFormula>IFERROR(working_data_2[[#This Row],[Profit]]/working_data_2[[#This Row],[Sales Amount]],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80A1D-BBA9-4C18-9B23-388771D88C1F}">
  <dimension ref="A1:L527"/>
  <sheetViews>
    <sheetView workbookViewId="0">
      <selection activeCell="D29" sqref="D29"/>
    </sheetView>
  </sheetViews>
  <sheetFormatPr defaultRowHeight="14.4" x14ac:dyDescent="0.3"/>
  <cols>
    <col min="1" max="1" width="10.21875" bestFit="1" customWidth="1"/>
    <col min="2" max="2" width="11.88671875" bestFit="1" customWidth="1"/>
    <col min="3" max="3" width="20.6640625" bestFit="1" customWidth="1"/>
    <col min="4" max="4" width="16.109375" bestFit="1" customWidth="1"/>
    <col min="5" max="5" width="7.5546875" bestFit="1" customWidth="1"/>
    <col min="6" max="6" width="18" bestFit="1" customWidth="1"/>
    <col min="7" max="7" width="15.44140625" bestFit="1" customWidth="1"/>
    <col min="8" max="8" width="14.77734375" bestFit="1" customWidth="1"/>
    <col min="9" max="10" width="10.5546875" bestFit="1" customWidth="1"/>
    <col min="11" max="11" width="7.88671875" bestFit="1" customWidth="1"/>
    <col min="12" max="12" width="14.77734375" bestFit="1" customWidth="1"/>
  </cols>
  <sheetData>
    <row r="1" spans="1:12" x14ac:dyDescent="0.3">
      <c r="A1" t="s">
        <v>1930</v>
      </c>
      <c r="B1" t="s">
        <v>0</v>
      </c>
      <c r="C1" t="s">
        <v>1</v>
      </c>
      <c r="D1" t="s">
        <v>2</v>
      </c>
      <c r="E1" t="s">
        <v>3</v>
      </c>
      <c r="F1" t="s">
        <v>4</v>
      </c>
      <c r="G1" t="s">
        <v>5</v>
      </c>
      <c r="H1" t="s">
        <v>6</v>
      </c>
      <c r="I1" t="s">
        <v>7</v>
      </c>
      <c r="J1" t="s">
        <v>8</v>
      </c>
      <c r="K1" t="s">
        <v>9</v>
      </c>
      <c r="L1" t="s">
        <v>10</v>
      </c>
    </row>
    <row r="2" spans="1:12" x14ac:dyDescent="0.3">
      <c r="A2" t="s">
        <v>11</v>
      </c>
      <c r="B2" t="s">
        <v>12</v>
      </c>
      <c r="C2" t="s">
        <v>13</v>
      </c>
      <c r="D2" t="s">
        <v>14</v>
      </c>
      <c r="E2" t="s">
        <v>15</v>
      </c>
      <c r="F2" t="s">
        <v>16</v>
      </c>
      <c r="G2" t="s">
        <v>17</v>
      </c>
      <c r="H2">
        <v>1200</v>
      </c>
      <c r="I2">
        <v>1</v>
      </c>
      <c r="J2">
        <v>0.1</v>
      </c>
      <c r="K2">
        <v>150</v>
      </c>
      <c r="L2" t="s">
        <v>18</v>
      </c>
    </row>
    <row r="3" spans="1:12" x14ac:dyDescent="0.3">
      <c r="A3" t="s">
        <v>19</v>
      </c>
      <c r="B3" t="s">
        <v>20</v>
      </c>
      <c r="C3" t="s">
        <v>21</v>
      </c>
      <c r="D3" t="s">
        <v>22</v>
      </c>
      <c r="E3" t="s">
        <v>23</v>
      </c>
      <c r="F3" t="s">
        <v>24</v>
      </c>
      <c r="G3" t="s">
        <v>25</v>
      </c>
      <c r="H3">
        <v>25</v>
      </c>
      <c r="I3">
        <v>2</v>
      </c>
      <c r="J3">
        <v>0</v>
      </c>
      <c r="K3">
        <v>10</v>
      </c>
      <c r="L3" t="s">
        <v>26</v>
      </c>
    </row>
    <row r="4" spans="1:12" x14ac:dyDescent="0.3">
      <c r="A4" t="s">
        <v>27</v>
      </c>
      <c r="B4" t="s">
        <v>28</v>
      </c>
      <c r="C4" t="s">
        <v>29</v>
      </c>
      <c r="D4" t="s">
        <v>30</v>
      </c>
      <c r="E4" t="s">
        <v>31</v>
      </c>
      <c r="F4" t="s">
        <v>32</v>
      </c>
      <c r="G4" t="s">
        <v>33</v>
      </c>
      <c r="H4">
        <v>-500</v>
      </c>
      <c r="I4">
        <v>1</v>
      </c>
      <c r="J4">
        <v>0</v>
      </c>
      <c r="K4">
        <v>-50</v>
      </c>
      <c r="L4" t="s">
        <v>18</v>
      </c>
    </row>
    <row r="5" spans="1:12" x14ac:dyDescent="0.3">
      <c r="A5" t="s">
        <v>34</v>
      </c>
      <c r="B5" t="s">
        <v>35</v>
      </c>
      <c r="C5" t="s">
        <v>36</v>
      </c>
      <c r="D5" t="s">
        <v>37</v>
      </c>
      <c r="E5" t="s">
        <v>38</v>
      </c>
      <c r="F5" t="s">
        <v>16</v>
      </c>
      <c r="G5" t="s">
        <v>39</v>
      </c>
      <c r="H5">
        <v>800</v>
      </c>
      <c r="I5">
        <v>1</v>
      </c>
      <c r="J5">
        <v>0.05</v>
      </c>
      <c r="K5">
        <v>100</v>
      </c>
      <c r="L5" t="s">
        <v>40</v>
      </c>
    </row>
    <row r="6" spans="1:12" x14ac:dyDescent="0.3">
      <c r="A6" t="s">
        <v>41</v>
      </c>
      <c r="B6" t="s">
        <v>42</v>
      </c>
      <c r="C6" t="s">
        <v>43</v>
      </c>
      <c r="D6" t="s">
        <v>44</v>
      </c>
      <c r="E6" t="s">
        <v>31</v>
      </c>
      <c r="F6" t="s">
        <v>45</v>
      </c>
      <c r="G6" t="s">
        <v>46</v>
      </c>
      <c r="H6">
        <v>50</v>
      </c>
      <c r="I6">
        <v>3</v>
      </c>
      <c r="J6">
        <v>0</v>
      </c>
      <c r="K6">
        <v>15</v>
      </c>
      <c r="L6" t="s">
        <v>26</v>
      </c>
    </row>
    <row r="7" spans="1:12" x14ac:dyDescent="0.3">
      <c r="A7" t="s">
        <v>11</v>
      </c>
      <c r="B7" t="s">
        <v>12</v>
      </c>
      <c r="C7" t="s">
        <v>13</v>
      </c>
      <c r="D7" t="s">
        <v>14</v>
      </c>
      <c r="E7" t="s">
        <v>15</v>
      </c>
      <c r="F7" t="s">
        <v>16</v>
      </c>
      <c r="G7" t="s">
        <v>17</v>
      </c>
      <c r="H7">
        <v>1200</v>
      </c>
      <c r="I7">
        <v>1</v>
      </c>
      <c r="J7">
        <v>0.1</v>
      </c>
      <c r="K7">
        <v>150</v>
      </c>
      <c r="L7" t="s">
        <v>18</v>
      </c>
    </row>
    <row r="8" spans="1:12" x14ac:dyDescent="0.3">
      <c r="A8" t="s">
        <v>47</v>
      </c>
      <c r="B8" t="s">
        <v>48</v>
      </c>
      <c r="C8" t="s">
        <v>49</v>
      </c>
      <c r="D8" t="s">
        <v>50</v>
      </c>
      <c r="E8" t="s">
        <v>51</v>
      </c>
      <c r="F8" t="s">
        <v>52</v>
      </c>
      <c r="G8" t="s">
        <v>53</v>
      </c>
      <c r="H8">
        <v>150</v>
      </c>
      <c r="I8">
        <v>4</v>
      </c>
      <c r="J8">
        <v>0.1</v>
      </c>
      <c r="K8">
        <v>20</v>
      </c>
      <c r="L8" t="s">
        <v>26</v>
      </c>
    </row>
    <row r="9" spans="1:12" x14ac:dyDescent="0.3">
      <c r="A9" t="s">
        <v>54</v>
      </c>
      <c r="B9" t="s">
        <v>55</v>
      </c>
      <c r="C9" t="s">
        <v>56</v>
      </c>
      <c r="D9" t="s">
        <v>57</v>
      </c>
      <c r="E9" t="s">
        <v>58</v>
      </c>
      <c r="F9" t="s">
        <v>16</v>
      </c>
      <c r="G9" t="s">
        <v>59</v>
      </c>
      <c r="H9">
        <v>300</v>
      </c>
      <c r="I9">
        <v>2</v>
      </c>
      <c r="J9">
        <v>0</v>
      </c>
      <c r="K9">
        <v>40</v>
      </c>
      <c r="L9" t="s">
        <v>18</v>
      </c>
    </row>
    <row r="10" spans="1:12" x14ac:dyDescent="0.3">
      <c r="A10" t="s">
        <v>60</v>
      </c>
      <c r="B10" t="s">
        <v>61</v>
      </c>
      <c r="C10" t="s">
        <v>62</v>
      </c>
      <c r="D10" t="s">
        <v>30</v>
      </c>
      <c r="E10" t="s">
        <v>23</v>
      </c>
      <c r="F10" t="s">
        <v>45</v>
      </c>
      <c r="G10" t="s">
        <v>63</v>
      </c>
      <c r="H10">
        <v>75</v>
      </c>
      <c r="I10">
        <v>1</v>
      </c>
      <c r="J10">
        <v>0.2</v>
      </c>
      <c r="K10">
        <v>15</v>
      </c>
      <c r="L10" t="s">
        <v>26</v>
      </c>
    </row>
    <row r="11" spans="1:12" x14ac:dyDescent="0.3">
      <c r="A11" t="s">
        <v>64</v>
      </c>
      <c r="B11" t="s">
        <v>65</v>
      </c>
      <c r="C11" t="s">
        <v>66</v>
      </c>
      <c r="D11" t="s">
        <v>67</v>
      </c>
      <c r="E11" t="s">
        <v>31</v>
      </c>
      <c r="F11" t="s">
        <v>32</v>
      </c>
      <c r="G11" t="s">
        <v>68</v>
      </c>
      <c r="H11">
        <v>900</v>
      </c>
      <c r="I11">
        <v>1</v>
      </c>
      <c r="J11">
        <v>0.15</v>
      </c>
      <c r="K11">
        <v>100</v>
      </c>
      <c r="L11" t="s">
        <v>18</v>
      </c>
    </row>
    <row r="12" spans="1:12" x14ac:dyDescent="0.3">
      <c r="A12" t="s">
        <v>69</v>
      </c>
      <c r="B12" t="s">
        <v>70</v>
      </c>
      <c r="C12" t="s">
        <v>71</v>
      </c>
      <c r="D12" t="s">
        <v>72</v>
      </c>
      <c r="E12" t="s">
        <v>23</v>
      </c>
      <c r="F12" t="s">
        <v>16</v>
      </c>
      <c r="G12" t="s">
        <v>73</v>
      </c>
      <c r="H12">
        <v>100</v>
      </c>
      <c r="I12">
        <v>0</v>
      </c>
      <c r="J12">
        <v>0</v>
      </c>
      <c r="K12">
        <v>20</v>
      </c>
      <c r="L12" t="s">
        <v>74</v>
      </c>
    </row>
    <row r="13" spans="1:12" x14ac:dyDescent="0.3">
      <c r="A13" t="s">
        <v>75</v>
      </c>
      <c r="B13" t="s">
        <v>76</v>
      </c>
      <c r="C13" t="s">
        <v>77</v>
      </c>
      <c r="D13" t="s">
        <v>78</v>
      </c>
      <c r="E13" t="s">
        <v>31</v>
      </c>
      <c r="F13" t="s">
        <v>45</v>
      </c>
      <c r="G13" t="s">
        <v>79</v>
      </c>
      <c r="H13">
        <v>120</v>
      </c>
      <c r="I13">
        <v>-1</v>
      </c>
      <c r="J13">
        <v>0</v>
      </c>
      <c r="K13">
        <v>30</v>
      </c>
      <c r="L13" t="s">
        <v>18</v>
      </c>
    </row>
    <row r="14" spans="1:12" x14ac:dyDescent="0.3">
      <c r="A14" t="s">
        <v>80</v>
      </c>
      <c r="B14" t="s">
        <v>81</v>
      </c>
      <c r="C14" t="s">
        <v>82</v>
      </c>
      <c r="D14" t="s">
        <v>83</v>
      </c>
      <c r="E14" t="s">
        <v>23</v>
      </c>
      <c r="F14" t="s">
        <v>32</v>
      </c>
      <c r="G14" t="s">
        <v>84</v>
      </c>
      <c r="H14">
        <v>350</v>
      </c>
      <c r="I14">
        <v>1</v>
      </c>
      <c r="J14">
        <v>0.1</v>
      </c>
      <c r="K14">
        <v>40</v>
      </c>
      <c r="L14" t="s">
        <v>26</v>
      </c>
    </row>
    <row r="15" spans="1:12" x14ac:dyDescent="0.3">
      <c r="A15" t="s">
        <v>85</v>
      </c>
      <c r="B15" t="s">
        <v>86</v>
      </c>
      <c r="C15" t="s">
        <v>87</v>
      </c>
      <c r="D15" t="s">
        <v>88</v>
      </c>
      <c r="E15" t="s">
        <v>31</v>
      </c>
      <c r="F15" t="s">
        <v>16</v>
      </c>
      <c r="G15" t="s">
        <v>89</v>
      </c>
      <c r="H15">
        <v>250</v>
      </c>
      <c r="I15">
        <v>2</v>
      </c>
      <c r="J15">
        <v>0.05</v>
      </c>
      <c r="K15">
        <v>30</v>
      </c>
      <c r="L15" t="s">
        <v>18</v>
      </c>
    </row>
    <row r="16" spans="1:12" x14ac:dyDescent="0.3">
      <c r="A16" t="s">
        <v>90</v>
      </c>
      <c r="B16" t="s">
        <v>91</v>
      </c>
      <c r="C16" t="s">
        <v>92</v>
      </c>
      <c r="D16" t="s">
        <v>93</v>
      </c>
      <c r="E16" t="s">
        <v>94</v>
      </c>
      <c r="F16" t="s">
        <v>45</v>
      </c>
      <c r="G16" t="s">
        <v>95</v>
      </c>
      <c r="H16">
        <v>150</v>
      </c>
      <c r="I16">
        <v>1</v>
      </c>
      <c r="J16">
        <v>0</v>
      </c>
      <c r="K16">
        <v>25</v>
      </c>
      <c r="L16" t="s">
        <v>26</v>
      </c>
    </row>
    <row r="17" spans="1:12" x14ac:dyDescent="0.3">
      <c r="A17" t="s">
        <v>96</v>
      </c>
      <c r="B17" t="s">
        <v>97</v>
      </c>
      <c r="C17" t="s">
        <v>98</v>
      </c>
      <c r="D17" t="s">
        <v>99</v>
      </c>
      <c r="E17" t="s">
        <v>31</v>
      </c>
      <c r="F17" t="s">
        <v>32</v>
      </c>
      <c r="G17" t="s">
        <v>100</v>
      </c>
      <c r="H17">
        <v>200</v>
      </c>
      <c r="I17">
        <v>1</v>
      </c>
      <c r="J17">
        <v>0.1</v>
      </c>
      <c r="K17">
        <v>20</v>
      </c>
      <c r="L17" t="s">
        <v>18</v>
      </c>
    </row>
    <row r="18" spans="1:12" x14ac:dyDescent="0.3">
      <c r="A18" t="s">
        <v>54</v>
      </c>
      <c r="B18" t="s">
        <v>55</v>
      </c>
      <c r="C18" t="s">
        <v>56</v>
      </c>
      <c r="D18" t="s">
        <v>57</v>
      </c>
      <c r="E18" t="s">
        <v>58</v>
      </c>
      <c r="F18" t="s">
        <v>16</v>
      </c>
      <c r="G18" t="s">
        <v>59</v>
      </c>
      <c r="H18">
        <v>300</v>
      </c>
      <c r="I18">
        <v>2</v>
      </c>
      <c r="J18">
        <v>0</v>
      </c>
      <c r="K18">
        <v>40</v>
      </c>
      <c r="L18" t="s">
        <v>18</v>
      </c>
    </row>
    <row r="19" spans="1:12" x14ac:dyDescent="0.3">
      <c r="A19" t="s">
        <v>101</v>
      </c>
      <c r="B19" t="s">
        <v>102</v>
      </c>
      <c r="C19" t="s">
        <v>103</v>
      </c>
      <c r="D19" t="s">
        <v>104</v>
      </c>
      <c r="E19" t="s">
        <v>105</v>
      </c>
      <c r="F19" t="s">
        <v>16</v>
      </c>
      <c r="G19" t="s">
        <v>106</v>
      </c>
      <c r="H19">
        <v>200</v>
      </c>
      <c r="I19">
        <v>1</v>
      </c>
      <c r="J19">
        <v>0</v>
      </c>
      <c r="K19">
        <v>40</v>
      </c>
      <c r="L19" t="s">
        <v>26</v>
      </c>
    </row>
    <row r="20" spans="1:12" x14ac:dyDescent="0.3">
      <c r="A20" t="s">
        <v>107</v>
      </c>
      <c r="B20" t="s">
        <v>108</v>
      </c>
      <c r="C20" t="s">
        <v>109</v>
      </c>
      <c r="D20" t="s">
        <v>110</v>
      </c>
      <c r="E20" t="s">
        <v>111</v>
      </c>
      <c r="F20" t="s">
        <v>45</v>
      </c>
      <c r="G20" t="s">
        <v>112</v>
      </c>
      <c r="H20">
        <v>60</v>
      </c>
      <c r="I20">
        <v>2</v>
      </c>
      <c r="J20">
        <v>0.1</v>
      </c>
      <c r="K20">
        <v>10</v>
      </c>
      <c r="L20" t="s">
        <v>18</v>
      </c>
    </row>
    <row r="21" spans="1:12" x14ac:dyDescent="0.3">
      <c r="A21" t="s">
        <v>113</v>
      </c>
      <c r="B21" t="s">
        <v>114</v>
      </c>
      <c r="C21" t="s">
        <v>115</v>
      </c>
      <c r="D21" t="s">
        <v>30</v>
      </c>
      <c r="E21" t="s">
        <v>116</v>
      </c>
      <c r="F21" t="s">
        <v>32</v>
      </c>
      <c r="G21" t="s">
        <v>117</v>
      </c>
      <c r="H21">
        <v>1000</v>
      </c>
      <c r="I21">
        <v>1</v>
      </c>
      <c r="J21">
        <v>0.2</v>
      </c>
      <c r="K21">
        <v>150</v>
      </c>
      <c r="L21" t="s">
        <v>26</v>
      </c>
    </row>
    <row r="22" spans="1:12" x14ac:dyDescent="0.3">
      <c r="A22" t="s">
        <v>118</v>
      </c>
      <c r="B22" t="s">
        <v>119</v>
      </c>
      <c r="C22" t="s">
        <v>120</v>
      </c>
      <c r="D22" t="s">
        <v>121</v>
      </c>
      <c r="E22" t="s">
        <v>122</v>
      </c>
      <c r="F22" t="s">
        <v>16</v>
      </c>
      <c r="G22" t="s">
        <v>123</v>
      </c>
      <c r="H22">
        <v>600</v>
      </c>
      <c r="I22">
        <v>1</v>
      </c>
      <c r="J22">
        <v>0</v>
      </c>
      <c r="K22">
        <v>80</v>
      </c>
      <c r="L22" t="s">
        <v>40</v>
      </c>
    </row>
    <row r="23" spans="1:12" x14ac:dyDescent="0.3">
      <c r="A23" t="s">
        <v>124</v>
      </c>
      <c r="B23" t="s">
        <v>125</v>
      </c>
      <c r="C23" t="s">
        <v>126</v>
      </c>
      <c r="D23" t="s">
        <v>127</v>
      </c>
      <c r="E23" t="s">
        <v>128</v>
      </c>
      <c r="F23" t="s">
        <v>45</v>
      </c>
      <c r="G23" t="s">
        <v>129</v>
      </c>
      <c r="H23">
        <v>30</v>
      </c>
      <c r="I23">
        <v>3</v>
      </c>
      <c r="J23">
        <v>0</v>
      </c>
      <c r="K23">
        <v>5</v>
      </c>
      <c r="L23" t="s">
        <v>26</v>
      </c>
    </row>
    <row r="24" spans="1:12" x14ac:dyDescent="0.3">
      <c r="A24" t="s">
        <v>130</v>
      </c>
      <c r="B24" t="s">
        <v>131</v>
      </c>
      <c r="C24" t="s">
        <v>132</v>
      </c>
      <c r="D24" t="s">
        <v>133</v>
      </c>
      <c r="E24" t="s">
        <v>134</v>
      </c>
      <c r="F24" t="s">
        <v>32</v>
      </c>
      <c r="G24" t="s">
        <v>135</v>
      </c>
      <c r="H24">
        <v>-300</v>
      </c>
      <c r="I24">
        <v>1</v>
      </c>
      <c r="J24">
        <v>0</v>
      </c>
      <c r="K24">
        <v>-20</v>
      </c>
      <c r="L24" t="s">
        <v>18</v>
      </c>
    </row>
    <row r="25" spans="1:12" x14ac:dyDescent="0.3">
      <c r="A25" t="s">
        <v>136</v>
      </c>
      <c r="B25" t="s">
        <v>137</v>
      </c>
      <c r="C25" t="s">
        <v>138</v>
      </c>
      <c r="D25" t="s">
        <v>139</v>
      </c>
      <c r="E25" t="s">
        <v>140</v>
      </c>
      <c r="F25" t="s">
        <v>16</v>
      </c>
      <c r="G25" t="s">
        <v>141</v>
      </c>
      <c r="H25">
        <v>80</v>
      </c>
      <c r="I25">
        <v>2</v>
      </c>
      <c r="J25">
        <v>0.1</v>
      </c>
      <c r="K25">
        <v>15</v>
      </c>
      <c r="L25" t="s">
        <v>26</v>
      </c>
    </row>
    <row r="26" spans="1:12" x14ac:dyDescent="0.3">
      <c r="A26" t="s">
        <v>142</v>
      </c>
      <c r="B26" t="s">
        <v>143</v>
      </c>
      <c r="C26" t="s">
        <v>144</v>
      </c>
      <c r="D26" t="s">
        <v>145</v>
      </c>
      <c r="E26" t="s">
        <v>31</v>
      </c>
      <c r="F26" t="s">
        <v>45</v>
      </c>
      <c r="G26" t="s">
        <v>146</v>
      </c>
      <c r="H26">
        <v>15</v>
      </c>
      <c r="I26">
        <v>5</v>
      </c>
      <c r="J26">
        <v>0</v>
      </c>
      <c r="K26">
        <v>5</v>
      </c>
      <c r="L26" t="s">
        <v>18</v>
      </c>
    </row>
    <row r="27" spans="1:12" x14ac:dyDescent="0.3">
      <c r="A27" t="s">
        <v>147</v>
      </c>
      <c r="B27" t="s">
        <v>148</v>
      </c>
      <c r="C27" t="s">
        <v>149</v>
      </c>
      <c r="D27" t="s">
        <v>150</v>
      </c>
      <c r="E27" t="s">
        <v>151</v>
      </c>
      <c r="F27" t="s">
        <v>32</v>
      </c>
      <c r="G27" t="s">
        <v>152</v>
      </c>
      <c r="H27">
        <v>40</v>
      </c>
      <c r="I27">
        <v>4</v>
      </c>
      <c r="J27">
        <v>0</v>
      </c>
      <c r="K27">
        <v>10</v>
      </c>
      <c r="L27" t="s">
        <v>26</v>
      </c>
    </row>
    <row r="28" spans="1:12" x14ac:dyDescent="0.3">
      <c r="A28" t="s">
        <v>153</v>
      </c>
      <c r="B28" t="s">
        <v>154</v>
      </c>
      <c r="C28" t="s">
        <v>155</v>
      </c>
      <c r="D28" t="s">
        <v>156</v>
      </c>
      <c r="E28" t="s">
        <v>157</v>
      </c>
      <c r="F28" t="s">
        <v>16</v>
      </c>
      <c r="G28" t="s">
        <v>158</v>
      </c>
      <c r="H28">
        <v>50</v>
      </c>
      <c r="I28">
        <v>2</v>
      </c>
      <c r="J28">
        <v>0</v>
      </c>
      <c r="K28">
        <v>10</v>
      </c>
      <c r="L28" t="s">
        <v>18</v>
      </c>
    </row>
    <row r="29" spans="1:12" x14ac:dyDescent="0.3">
      <c r="A29" t="s">
        <v>159</v>
      </c>
      <c r="B29" t="s">
        <v>160</v>
      </c>
      <c r="C29" t="s">
        <v>161</v>
      </c>
      <c r="D29" t="s">
        <v>30</v>
      </c>
      <c r="E29" t="s">
        <v>162</v>
      </c>
      <c r="F29" t="s">
        <v>45</v>
      </c>
      <c r="G29" t="s">
        <v>163</v>
      </c>
      <c r="H29">
        <v>20</v>
      </c>
      <c r="I29">
        <v>1</v>
      </c>
      <c r="J29">
        <v>0</v>
      </c>
      <c r="K29">
        <v>5</v>
      </c>
      <c r="L29" t="s">
        <v>26</v>
      </c>
    </row>
    <row r="30" spans="1:12" x14ac:dyDescent="0.3">
      <c r="A30" t="s">
        <v>164</v>
      </c>
      <c r="B30" t="s">
        <v>165</v>
      </c>
      <c r="C30" t="s">
        <v>166</v>
      </c>
      <c r="D30" t="s">
        <v>167</v>
      </c>
      <c r="E30" t="s">
        <v>151</v>
      </c>
      <c r="F30" t="s">
        <v>32</v>
      </c>
      <c r="G30" t="s">
        <v>168</v>
      </c>
      <c r="H30">
        <v>60</v>
      </c>
      <c r="I30">
        <v>2</v>
      </c>
      <c r="J30">
        <v>0.1</v>
      </c>
      <c r="K30">
        <v>10</v>
      </c>
      <c r="L30" t="s">
        <v>18</v>
      </c>
    </row>
    <row r="31" spans="1:12" x14ac:dyDescent="0.3">
      <c r="A31" t="s">
        <v>169</v>
      </c>
      <c r="B31" t="s">
        <v>170</v>
      </c>
      <c r="C31" t="s">
        <v>171</v>
      </c>
      <c r="D31" t="s">
        <v>172</v>
      </c>
      <c r="E31" t="s">
        <v>173</v>
      </c>
      <c r="F31" t="s">
        <v>16</v>
      </c>
      <c r="G31" t="s">
        <v>174</v>
      </c>
      <c r="H31">
        <v>25</v>
      </c>
      <c r="I31">
        <v>3</v>
      </c>
      <c r="J31">
        <v>0</v>
      </c>
      <c r="K31">
        <v>5</v>
      </c>
      <c r="L31" t="s">
        <v>74</v>
      </c>
    </row>
    <row r="32" spans="1:12" x14ac:dyDescent="0.3">
      <c r="A32" t="s">
        <v>175</v>
      </c>
      <c r="B32" t="s">
        <v>176</v>
      </c>
      <c r="C32" t="s">
        <v>177</v>
      </c>
      <c r="D32" t="s">
        <v>178</v>
      </c>
      <c r="E32" t="s">
        <v>162</v>
      </c>
      <c r="F32" t="s">
        <v>16</v>
      </c>
      <c r="G32" t="s">
        <v>17</v>
      </c>
      <c r="H32">
        <v>1100</v>
      </c>
      <c r="I32">
        <v>1</v>
      </c>
      <c r="J32">
        <v>0.05</v>
      </c>
      <c r="K32">
        <v>100</v>
      </c>
      <c r="L32" t="s">
        <v>18</v>
      </c>
    </row>
    <row r="33" spans="1:12" x14ac:dyDescent="0.3">
      <c r="A33" t="s">
        <v>179</v>
      </c>
      <c r="B33" t="s">
        <v>180</v>
      </c>
      <c r="C33" t="s">
        <v>181</v>
      </c>
      <c r="D33" t="s">
        <v>182</v>
      </c>
      <c r="E33" t="s">
        <v>183</v>
      </c>
      <c r="F33" t="s">
        <v>24</v>
      </c>
      <c r="G33" t="s">
        <v>25</v>
      </c>
      <c r="H33">
        <v>20</v>
      </c>
      <c r="I33">
        <v>2</v>
      </c>
      <c r="J33">
        <v>0</v>
      </c>
      <c r="K33">
        <v>5</v>
      </c>
      <c r="L33" t="s">
        <v>26</v>
      </c>
    </row>
    <row r="34" spans="1:12" x14ac:dyDescent="0.3">
      <c r="A34" t="s">
        <v>184</v>
      </c>
      <c r="B34" t="s">
        <v>185</v>
      </c>
      <c r="C34" t="s">
        <v>186</v>
      </c>
      <c r="D34" t="s">
        <v>30</v>
      </c>
      <c r="E34" t="s">
        <v>94</v>
      </c>
      <c r="F34" t="s">
        <v>32</v>
      </c>
      <c r="G34" t="s">
        <v>33</v>
      </c>
      <c r="H34">
        <v>-450</v>
      </c>
      <c r="I34">
        <v>1</v>
      </c>
      <c r="J34">
        <v>0</v>
      </c>
      <c r="K34">
        <v>-40</v>
      </c>
      <c r="L34" t="s">
        <v>18</v>
      </c>
    </row>
    <row r="35" spans="1:12" x14ac:dyDescent="0.3">
      <c r="A35" t="s">
        <v>187</v>
      </c>
      <c r="B35" t="s">
        <v>188</v>
      </c>
      <c r="C35" t="s">
        <v>189</v>
      </c>
      <c r="D35" t="s">
        <v>190</v>
      </c>
      <c r="E35" t="s">
        <v>94</v>
      </c>
      <c r="F35" t="s">
        <v>16</v>
      </c>
      <c r="G35" t="s">
        <v>39</v>
      </c>
      <c r="H35">
        <v>850</v>
      </c>
      <c r="I35">
        <v>1</v>
      </c>
      <c r="J35">
        <v>0.05</v>
      </c>
      <c r="K35">
        <v>110</v>
      </c>
      <c r="L35" t="s">
        <v>40</v>
      </c>
    </row>
    <row r="36" spans="1:12" x14ac:dyDescent="0.3">
      <c r="A36" t="s">
        <v>191</v>
      </c>
      <c r="B36" t="s">
        <v>192</v>
      </c>
      <c r="C36" t="s">
        <v>193</v>
      </c>
      <c r="D36" t="s">
        <v>194</v>
      </c>
      <c r="E36" t="s">
        <v>94</v>
      </c>
      <c r="F36" t="s">
        <v>45</v>
      </c>
      <c r="G36" t="s">
        <v>46</v>
      </c>
      <c r="H36">
        <v>55</v>
      </c>
      <c r="I36">
        <v>3</v>
      </c>
      <c r="J36">
        <v>0</v>
      </c>
      <c r="K36">
        <v>18</v>
      </c>
      <c r="L36" t="s">
        <v>26</v>
      </c>
    </row>
    <row r="37" spans="1:12" x14ac:dyDescent="0.3">
      <c r="A37" t="s">
        <v>195</v>
      </c>
      <c r="B37" t="s">
        <v>196</v>
      </c>
      <c r="C37" t="s">
        <v>197</v>
      </c>
      <c r="D37" t="s">
        <v>198</v>
      </c>
      <c r="E37" t="s">
        <v>94</v>
      </c>
      <c r="F37" t="s">
        <v>52</v>
      </c>
      <c r="G37" t="s">
        <v>53</v>
      </c>
      <c r="H37">
        <v>160</v>
      </c>
      <c r="I37">
        <v>4</v>
      </c>
      <c r="J37">
        <v>0.1</v>
      </c>
      <c r="K37">
        <v>22</v>
      </c>
      <c r="L37" t="s">
        <v>26</v>
      </c>
    </row>
    <row r="38" spans="1:12" x14ac:dyDescent="0.3">
      <c r="A38" t="s">
        <v>199</v>
      </c>
      <c r="B38" t="s">
        <v>200</v>
      </c>
      <c r="C38" t="s">
        <v>201</v>
      </c>
      <c r="D38" t="s">
        <v>202</v>
      </c>
      <c r="E38" t="s">
        <v>94</v>
      </c>
      <c r="F38" t="s">
        <v>16</v>
      </c>
      <c r="G38" t="s">
        <v>59</v>
      </c>
      <c r="H38">
        <v>310</v>
      </c>
      <c r="I38">
        <v>2</v>
      </c>
      <c r="J38">
        <v>0</v>
      </c>
      <c r="K38">
        <v>45</v>
      </c>
      <c r="L38" t="s">
        <v>18</v>
      </c>
    </row>
    <row r="39" spans="1:12" x14ac:dyDescent="0.3">
      <c r="A39" t="s">
        <v>184</v>
      </c>
      <c r="B39" t="s">
        <v>185</v>
      </c>
      <c r="C39" t="s">
        <v>186</v>
      </c>
      <c r="D39" t="s">
        <v>30</v>
      </c>
      <c r="E39" t="s">
        <v>94</v>
      </c>
      <c r="F39" t="s">
        <v>32</v>
      </c>
      <c r="G39" t="s">
        <v>33</v>
      </c>
      <c r="H39">
        <v>-450</v>
      </c>
      <c r="I39">
        <v>1</v>
      </c>
      <c r="J39">
        <v>0</v>
      </c>
      <c r="K39">
        <v>-40</v>
      </c>
      <c r="L39" t="s">
        <v>18</v>
      </c>
    </row>
    <row r="40" spans="1:12" x14ac:dyDescent="0.3">
      <c r="A40" t="s">
        <v>203</v>
      </c>
      <c r="B40" t="s">
        <v>204</v>
      </c>
      <c r="C40" t="s">
        <v>205</v>
      </c>
      <c r="D40" t="s">
        <v>30</v>
      </c>
      <c r="E40" t="s">
        <v>31</v>
      </c>
      <c r="F40" t="s">
        <v>45</v>
      </c>
      <c r="G40" t="s">
        <v>63</v>
      </c>
      <c r="H40">
        <v>80</v>
      </c>
      <c r="I40">
        <v>1</v>
      </c>
      <c r="J40">
        <v>0.2</v>
      </c>
      <c r="K40">
        <v>18</v>
      </c>
      <c r="L40" t="s">
        <v>26</v>
      </c>
    </row>
    <row r="41" spans="1:12" x14ac:dyDescent="0.3">
      <c r="A41" t="s">
        <v>206</v>
      </c>
      <c r="B41" t="s">
        <v>207</v>
      </c>
      <c r="C41" t="s">
        <v>208</v>
      </c>
      <c r="D41" t="s">
        <v>209</v>
      </c>
      <c r="E41" t="s">
        <v>31</v>
      </c>
      <c r="F41" t="s">
        <v>32</v>
      </c>
      <c r="G41" t="s">
        <v>68</v>
      </c>
      <c r="H41">
        <v>950</v>
      </c>
      <c r="I41">
        <v>1</v>
      </c>
      <c r="J41">
        <v>0.15</v>
      </c>
      <c r="K41">
        <v>110</v>
      </c>
      <c r="L41" t="s">
        <v>18</v>
      </c>
    </row>
    <row r="42" spans="1:12" x14ac:dyDescent="0.3">
      <c r="A42" t="s">
        <v>210</v>
      </c>
      <c r="B42" t="s">
        <v>211</v>
      </c>
      <c r="C42" t="s">
        <v>212</v>
      </c>
      <c r="D42" t="s">
        <v>213</v>
      </c>
      <c r="E42" t="s">
        <v>31</v>
      </c>
      <c r="F42" t="s">
        <v>16</v>
      </c>
      <c r="G42" t="s">
        <v>73</v>
      </c>
      <c r="H42">
        <v>110</v>
      </c>
      <c r="I42">
        <v>0</v>
      </c>
      <c r="J42">
        <v>0</v>
      </c>
      <c r="K42">
        <v>25</v>
      </c>
      <c r="L42" t="s">
        <v>74</v>
      </c>
    </row>
    <row r="43" spans="1:12" x14ac:dyDescent="0.3">
      <c r="A43" t="s">
        <v>214</v>
      </c>
      <c r="B43" t="s">
        <v>215</v>
      </c>
      <c r="C43" t="s">
        <v>216</v>
      </c>
      <c r="D43" t="s">
        <v>217</v>
      </c>
      <c r="E43" t="s">
        <v>31</v>
      </c>
      <c r="F43" t="s">
        <v>45</v>
      </c>
      <c r="G43" t="s">
        <v>79</v>
      </c>
      <c r="H43">
        <v>130</v>
      </c>
      <c r="I43">
        <v>-1</v>
      </c>
      <c r="J43">
        <v>0</v>
      </c>
      <c r="K43">
        <v>35</v>
      </c>
      <c r="L43" t="s">
        <v>18</v>
      </c>
    </row>
    <row r="44" spans="1:12" x14ac:dyDescent="0.3">
      <c r="A44" t="s">
        <v>218</v>
      </c>
      <c r="B44" t="s">
        <v>219</v>
      </c>
      <c r="C44" t="s">
        <v>220</v>
      </c>
      <c r="D44" t="s">
        <v>221</v>
      </c>
      <c r="E44" t="s">
        <v>31</v>
      </c>
      <c r="F44" t="s">
        <v>32</v>
      </c>
      <c r="G44" t="s">
        <v>84</v>
      </c>
      <c r="H44">
        <v>360</v>
      </c>
      <c r="I44">
        <v>1</v>
      </c>
      <c r="J44">
        <v>0.1</v>
      </c>
      <c r="K44">
        <v>45</v>
      </c>
      <c r="L44" t="s">
        <v>26</v>
      </c>
    </row>
    <row r="45" spans="1:12" x14ac:dyDescent="0.3">
      <c r="A45" t="s">
        <v>222</v>
      </c>
      <c r="B45" t="s">
        <v>223</v>
      </c>
      <c r="C45" t="s">
        <v>224</v>
      </c>
      <c r="D45" t="s">
        <v>225</v>
      </c>
      <c r="E45" t="s">
        <v>31</v>
      </c>
      <c r="F45" t="s">
        <v>16</v>
      </c>
      <c r="G45" t="s">
        <v>89</v>
      </c>
      <c r="H45">
        <v>260</v>
      </c>
      <c r="I45">
        <v>2</v>
      </c>
      <c r="J45">
        <v>0.05</v>
      </c>
      <c r="K45">
        <v>35</v>
      </c>
      <c r="L45" t="s">
        <v>18</v>
      </c>
    </row>
    <row r="46" spans="1:12" x14ac:dyDescent="0.3">
      <c r="A46" t="s">
        <v>226</v>
      </c>
      <c r="B46" t="s">
        <v>227</v>
      </c>
      <c r="C46" t="s">
        <v>228</v>
      </c>
      <c r="D46" t="s">
        <v>229</v>
      </c>
      <c r="E46" t="s">
        <v>31</v>
      </c>
      <c r="F46" t="s">
        <v>45</v>
      </c>
      <c r="G46" t="s">
        <v>95</v>
      </c>
      <c r="H46">
        <v>160</v>
      </c>
      <c r="I46">
        <v>1</v>
      </c>
      <c r="J46">
        <v>0</v>
      </c>
      <c r="K46">
        <v>30</v>
      </c>
      <c r="L46" t="s">
        <v>26</v>
      </c>
    </row>
    <row r="47" spans="1:12" x14ac:dyDescent="0.3">
      <c r="A47" t="s">
        <v>230</v>
      </c>
      <c r="B47" t="s">
        <v>231</v>
      </c>
      <c r="C47" t="s">
        <v>232</v>
      </c>
      <c r="D47" t="s">
        <v>233</v>
      </c>
      <c r="E47" t="s">
        <v>31</v>
      </c>
      <c r="F47" t="s">
        <v>32</v>
      </c>
      <c r="G47" t="s">
        <v>100</v>
      </c>
      <c r="H47">
        <v>210</v>
      </c>
      <c r="I47">
        <v>1</v>
      </c>
      <c r="J47">
        <v>0.1</v>
      </c>
      <c r="K47">
        <v>25</v>
      </c>
      <c r="L47" t="s">
        <v>18</v>
      </c>
    </row>
    <row r="48" spans="1:12" x14ac:dyDescent="0.3">
      <c r="A48" t="s">
        <v>234</v>
      </c>
      <c r="B48" t="s">
        <v>235</v>
      </c>
      <c r="C48" t="s">
        <v>236</v>
      </c>
      <c r="D48" t="s">
        <v>237</v>
      </c>
      <c r="E48" t="s">
        <v>31</v>
      </c>
      <c r="F48" t="s">
        <v>16</v>
      </c>
      <c r="G48" t="s">
        <v>106</v>
      </c>
      <c r="H48">
        <v>210</v>
      </c>
      <c r="I48">
        <v>1</v>
      </c>
      <c r="J48">
        <v>0</v>
      </c>
      <c r="K48">
        <v>45</v>
      </c>
      <c r="L48" t="s">
        <v>26</v>
      </c>
    </row>
    <row r="49" spans="1:12" x14ac:dyDescent="0.3">
      <c r="A49" t="s">
        <v>238</v>
      </c>
      <c r="B49" t="s">
        <v>239</v>
      </c>
      <c r="C49" t="s">
        <v>240</v>
      </c>
      <c r="D49" t="s">
        <v>241</v>
      </c>
      <c r="E49" t="s">
        <v>31</v>
      </c>
      <c r="F49" t="s">
        <v>45</v>
      </c>
      <c r="G49" t="s">
        <v>112</v>
      </c>
      <c r="H49">
        <v>65</v>
      </c>
      <c r="I49">
        <v>2</v>
      </c>
      <c r="J49">
        <v>0.1</v>
      </c>
      <c r="K49">
        <v>12</v>
      </c>
      <c r="L49" t="s">
        <v>18</v>
      </c>
    </row>
    <row r="50" spans="1:12" x14ac:dyDescent="0.3">
      <c r="A50" t="s">
        <v>242</v>
      </c>
      <c r="B50" t="s">
        <v>243</v>
      </c>
      <c r="C50" t="s">
        <v>244</v>
      </c>
      <c r="D50" t="s">
        <v>30</v>
      </c>
      <c r="E50" t="s">
        <v>15</v>
      </c>
      <c r="F50" t="s">
        <v>32</v>
      </c>
      <c r="G50" t="s">
        <v>117</v>
      </c>
      <c r="H50">
        <v>1050</v>
      </c>
      <c r="I50">
        <v>1</v>
      </c>
      <c r="J50">
        <v>0.2</v>
      </c>
      <c r="K50">
        <v>160</v>
      </c>
      <c r="L50" t="s">
        <v>26</v>
      </c>
    </row>
    <row r="51" spans="1:12" x14ac:dyDescent="0.3">
      <c r="A51" t="s">
        <v>245</v>
      </c>
      <c r="B51" t="s">
        <v>246</v>
      </c>
      <c r="C51" t="s">
        <v>247</v>
      </c>
      <c r="D51" t="s">
        <v>248</v>
      </c>
      <c r="E51" t="s">
        <v>15</v>
      </c>
      <c r="F51" t="s">
        <v>16</v>
      </c>
      <c r="G51" t="s">
        <v>123</v>
      </c>
      <c r="H51">
        <v>650</v>
      </c>
      <c r="I51">
        <v>1</v>
      </c>
      <c r="J51">
        <v>0</v>
      </c>
      <c r="K51">
        <v>90</v>
      </c>
      <c r="L51" t="s">
        <v>40</v>
      </c>
    </row>
    <row r="52" spans="1:12" x14ac:dyDescent="0.3">
      <c r="A52" t="s">
        <v>249</v>
      </c>
      <c r="B52" t="s">
        <v>250</v>
      </c>
      <c r="C52" t="s">
        <v>251</v>
      </c>
      <c r="D52" t="s">
        <v>252</v>
      </c>
      <c r="E52" t="s">
        <v>15</v>
      </c>
      <c r="F52" t="s">
        <v>45</v>
      </c>
      <c r="G52" t="s">
        <v>129</v>
      </c>
      <c r="H52">
        <v>35</v>
      </c>
      <c r="I52">
        <v>3</v>
      </c>
      <c r="J52">
        <v>0</v>
      </c>
      <c r="K52">
        <v>8</v>
      </c>
      <c r="L52" t="s">
        <v>26</v>
      </c>
    </row>
    <row r="53" spans="1:12" x14ac:dyDescent="0.3">
      <c r="A53" t="s">
        <v>253</v>
      </c>
      <c r="B53" t="s">
        <v>254</v>
      </c>
      <c r="C53" t="s">
        <v>255</v>
      </c>
      <c r="D53" t="s">
        <v>256</v>
      </c>
      <c r="E53" t="s">
        <v>15</v>
      </c>
      <c r="F53" t="s">
        <v>32</v>
      </c>
      <c r="G53" t="s">
        <v>135</v>
      </c>
      <c r="H53">
        <v>-350</v>
      </c>
      <c r="I53">
        <v>1</v>
      </c>
      <c r="J53">
        <v>0</v>
      </c>
      <c r="K53">
        <v>-25</v>
      </c>
      <c r="L53" t="s">
        <v>18</v>
      </c>
    </row>
    <row r="54" spans="1:12" x14ac:dyDescent="0.3">
      <c r="A54" t="s">
        <v>257</v>
      </c>
      <c r="B54" t="s">
        <v>258</v>
      </c>
      <c r="C54" t="s">
        <v>259</v>
      </c>
      <c r="D54" t="s">
        <v>260</v>
      </c>
      <c r="E54" t="s">
        <v>15</v>
      </c>
      <c r="F54" t="s">
        <v>16</v>
      </c>
      <c r="G54" t="s">
        <v>141</v>
      </c>
      <c r="H54">
        <v>85</v>
      </c>
      <c r="I54">
        <v>2</v>
      </c>
      <c r="J54">
        <v>0.1</v>
      </c>
      <c r="K54">
        <v>18</v>
      </c>
      <c r="L54" t="s">
        <v>26</v>
      </c>
    </row>
    <row r="55" spans="1:12" x14ac:dyDescent="0.3">
      <c r="A55" t="s">
        <v>261</v>
      </c>
      <c r="B55" t="s">
        <v>262</v>
      </c>
      <c r="C55" t="s">
        <v>263</v>
      </c>
      <c r="D55" t="s">
        <v>264</v>
      </c>
      <c r="E55" t="s">
        <v>15</v>
      </c>
      <c r="F55" t="s">
        <v>45</v>
      </c>
      <c r="G55" t="s">
        <v>146</v>
      </c>
      <c r="H55">
        <v>18</v>
      </c>
      <c r="I55">
        <v>5</v>
      </c>
      <c r="J55">
        <v>0</v>
      </c>
      <c r="K55">
        <v>6</v>
      </c>
      <c r="L55" t="s">
        <v>18</v>
      </c>
    </row>
    <row r="56" spans="1:12" x14ac:dyDescent="0.3">
      <c r="A56" t="s">
        <v>234</v>
      </c>
      <c r="B56" t="s">
        <v>235</v>
      </c>
      <c r="C56" t="s">
        <v>236</v>
      </c>
      <c r="D56" t="s">
        <v>237</v>
      </c>
      <c r="E56" t="s">
        <v>31</v>
      </c>
      <c r="F56" t="s">
        <v>16</v>
      </c>
      <c r="G56" t="s">
        <v>106</v>
      </c>
      <c r="H56">
        <v>210</v>
      </c>
      <c r="I56">
        <v>1</v>
      </c>
      <c r="J56">
        <v>0</v>
      </c>
      <c r="K56">
        <v>45</v>
      </c>
      <c r="L56" t="s">
        <v>26</v>
      </c>
    </row>
    <row r="57" spans="1:12" x14ac:dyDescent="0.3">
      <c r="A57" t="s">
        <v>265</v>
      </c>
      <c r="B57" t="s">
        <v>266</v>
      </c>
      <c r="C57" t="s">
        <v>267</v>
      </c>
      <c r="D57" t="s">
        <v>268</v>
      </c>
      <c r="E57" t="s">
        <v>15</v>
      </c>
      <c r="F57" t="s">
        <v>32</v>
      </c>
      <c r="G57" t="s">
        <v>152</v>
      </c>
      <c r="H57">
        <v>45</v>
      </c>
      <c r="I57">
        <v>4</v>
      </c>
      <c r="J57">
        <v>0</v>
      </c>
      <c r="K57">
        <v>12</v>
      </c>
      <c r="L57" t="s">
        <v>26</v>
      </c>
    </row>
    <row r="58" spans="1:12" x14ac:dyDescent="0.3">
      <c r="A58" t="s">
        <v>269</v>
      </c>
      <c r="B58" t="s">
        <v>270</v>
      </c>
      <c r="C58" t="s">
        <v>271</v>
      </c>
      <c r="D58" t="s">
        <v>272</v>
      </c>
      <c r="E58" t="s">
        <v>15</v>
      </c>
      <c r="F58" t="s">
        <v>16</v>
      </c>
      <c r="G58" t="s">
        <v>158</v>
      </c>
      <c r="H58">
        <v>55</v>
      </c>
      <c r="I58">
        <v>2</v>
      </c>
      <c r="J58">
        <v>0</v>
      </c>
      <c r="K58">
        <v>12</v>
      </c>
      <c r="L58" t="s">
        <v>18</v>
      </c>
    </row>
    <row r="59" spans="1:12" x14ac:dyDescent="0.3">
      <c r="A59" t="s">
        <v>273</v>
      </c>
      <c r="B59" t="s">
        <v>274</v>
      </c>
      <c r="C59" t="s">
        <v>275</v>
      </c>
      <c r="D59" t="s">
        <v>30</v>
      </c>
      <c r="E59" t="s">
        <v>15</v>
      </c>
      <c r="F59" t="s">
        <v>45</v>
      </c>
      <c r="G59" t="s">
        <v>163</v>
      </c>
      <c r="H59">
        <v>22</v>
      </c>
      <c r="I59">
        <v>1</v>
      </c>
      <c r="J59">
        <v>0</v>
      </c>
      <c r="K59">
        <v>6</v>
      </c>
      <c r="L59" t="s">
        <v>26</v>
      </c>
    </row>
    <row r="60" spans="1:12" x14ac:dyDescent="0.3">
      <c r="A60" t="s">
        <v>276</v>
      </c>
      <c r="B60" t="s">
        <v>277</v>
      </c>
      <c r="C60" t="s">
        <v>278</v>
      </c>
      <c r="D60" t="s">
        <v>279</v>
      </c>
      <c r="E60" t="s">
        <v>15</v>
      </c>
      <c r="F60" t="s">
        <v>32</v>
      </c>
      <c r="G60" t="s">
        <v>168</v>
      </c>
      <c r="H60">
        <v>65</v>
      </c>
      <c r="I60">
        <v>2</v>
      </c>
      <c r="J60">
        <v>0.1</v>
      </c>
      <c r="K60">
        <v>12</v>
      </c>
      <c r="L60" t="s">
        <v>18</v>
      </c>
    </row>
    <row r="61" spans="1:12" x14ac:dyDescent="0.3">
      <c r="A61" t="s">
        <v>280</v>
      </c>
      <c r="B61" t="s">
        <v>281</v>
      </c>
      <c r="C61" t="s">
        <v>282</v>
      </c>
      <c r="D61" t="s">
        <v>283</v>
      </c>
      <c r="E61" t="s">
        <v>15</v>
      </c>
      <c r="F61" t="s">
        <v>16</v>
      </c>
      <c r="G61" t="s">
        <v>174</v>
      </c>
      <c r="H61">
        <v>28</v>
      </c>
      <c r="I61">
        <v>3</v>
      </c>
      <c r="J61">
        <v>0</v>
      </c>
      <c r="K61">
        <v>6</v>
      </c>
      <c r="L61" t="s">
        <v>74</v>
      </c>
    </row>
    <row r="62" spans="1:12" x14ac:dyDescent="0.3">
      <c r="A62" t="s">
        <v>284</v>
      </c>
      <c r="B62" t="s">
        <v>285</v>
      </c>
      <c r="C62" t="s">
        <v>286</v>
      </c>
      <c r="D62" t="s">
        <v>287</v>
      </c>
      <c r="E62" t="s">
        <v>23</v>
      </c>
      <c r="F62" t="s">
        <v>16</v>
      </c>
      <c r="G62" t="s">
        <v>17</v>
      </c>
      <c r="H62">
        <v>1150</v>
      </c>
      <c r="I62">
        <v>1</v>
      </c>
      <c r="J62">
        <v>0.1</v>
      </c>
      <c r="K62">
        <v>140</v>
      </c>
      <c r="L62" t="s">
        <v>18</v>
      </c>
    </row>
    <row r="63" spans="1:12" x14ac:dyDescent="0.3">
      <c r="A63" t="s">
        <v>288</v>
      </c>
      <c r="B63" t="s">
        <v>289</v>
      </c>
      <c r="C63" t="s">
        <v>290</v>
      </c>
      <c r="D63" t="s">
        <v>291</v>
      </c>
      <c r="E63" t="s">
        <v>23</v>
      </c>
      <c r="F63" t="s">
        <v>24</v>
      </c>
      <c r="G63" t="s">
        <v>25</v>
      </c>
      <c r="H63">
        <v>22</v>
      </c>
      <c r="I63">
        <v>2</v>
      </c>
      <c r="J63">
        <v>0</v>
      </c>
      <c r="K63">
        <v>8</v>
      </c>
      <c r="L63" t="s">
        <v>26</v>
      </c>
    </row>
    <row r="64" spans="1:12" x14ac:dyDescent="0.3">
      <c r="A64" t="s">
        <v>292</v>
      </c>
      <c r="B64" t="s">
        <v>293</v>
      </c>
      <c r="C64" t="s">
        <v>294</v>
      </c>
      <c r="D64" t="s">
        <v>30</v>
      </c>
      <c r="E64" t="s">
        <v>23</v>
      </c>
      <c r="F64" t="s">
        <v>32</v>
      </c>
      <c r="G64" t="s">
        <v>33</v>
      </c>
      <c r="H64">
        <v>-480</v>
      </c>
      <c r="I64">
        <v>1</v>
      </c>
      <c r="J64">
        <v>0</v>
      </c>
      <c r="K64">
        <v>-45</v>
      </c>
      <c r="L64" t="s">
        <v>18</v>
      </c>
    </row>
    <row r="65" spans="1:12" x14ac:dyDescent="0.3">
      <c r="A65" t="s">
        <v>295</v>
      </c>
      <c r="B65" t="s">
        <v>296</v>
      </c>
      <c r="C65" t="s">
        <v>297</v>
      </c>
      <c r="D65" t="s">
        <v>83</v>
      </c>
      <c r="E65" t="s">
        <v>23</v>
      </c>
      <c r="F65" t="s">
        <v>16</v>
      </c>
      <c r="G65" t="s">
        <v>39</v>
      </c>
      <c r="H65">
        <v>820</v>
      </c>
      <c r="I65">
        <v>1</v>
      </c>
      <c r="J65">
        <v>0.05</v>
      </c>
      <c r="K65">
        <v>105</v>
      </c>
      <c r="L65" t="s">
        <v>40</v>
      </c>
    </row>
    <row r="66" spans="1:12" x14ac:dyDescent="0.3">
      <c r="A66" t="s">
        <v>298</v>
      </c>
      <c r="B66" t="s">
        <v>299</v>
      </c>
      <c r="C66" t="s">
        <v>300</v>
      </c>
      <c r="D66" t="s">
        <v>301</v>
      </c>
      <c r="E66" t="s">
        <v>23</v>
      </c>
      <c r="F66" t="s">
        <v>45</v>
      </c>
      <c r="G66" t="s">
        <v>46</v>
      </c>
      <c r="H66">
        <v>52</v>
      </c>
      <c r="I66">
        <v>3</v>
      </c>
      <c r="J66">
        <v>0</v>
      </c>
      <c r="K66">
        <v>16</v>
      </c>
      <c r="L66" t="s">
        <v>26</v>
      </c>
    </row>
    <row r="67" spans="1:12" x14ac:dyDescent="0.3">
      <c r="A67" t="s">
        <v>302</v>
      </c>
      <c r="B67" t="s">
        <v>303</v>
      </c>
      <c r="C67" t="s">
        <v>304</v>
      </c>
      <c r="D67" t="s">
        <v>305</v>
      </c>
      <c r="E67" t="s">
        <v>23</v>
      </c>
      <c r="F67" t="s">
        <v>52</v>
      </c>
      <c r="G67" t="s">
        <v>53</v>
      </c>
      <c r="H67">
        <v>155</v>
      </c>
      <c r="I67">
        <v>4</v>
      </c>
      <c r="J67">
        <v>0.1</v>
      </c>
      <c r="K67">
        <v>21</v>
      </c>
      <c r="L67" t="s">
        <v>26</v>
      </c>
    </row>
    <row r="68" spans="1:12" x14ac:dyDescent="0.3">
      <c r="A68" t="s">
        <v>306</v>
      </c>
      <c r="B68" t="s">
        <v>307</v>
      </c>
      <c r="C68" t="s">
        <v>308</v>
      </c>
      <c r="D68" t="s">
        <v>309</v>
      </c>
      <c r="E68" t="s">
        <v>23</v>
      </c>
      <c r="F68" t="s">
        <v>16</v>
      </c>
      <c r="G68" t="s">
        <v>59</v>
      </c>
      <c r="H68">
        <v>305</v>
      </c>
      <c r="I68">
        <v>2</v>
      </c>
      <c r="J68">
        <v>0</v>
      </c>
      <c r="K68">
        <v>42</v>
      </c>
      <c r="L68" t="s">
        <v>18</v>
      </c>
    </row>
    <row r="69" spans="1:12" x14ac:dyDescent="0.3">
      <c r="A69" t="s">
        <v>310</v>
      </c>
      <c r="B69" t="s">
        <v>311</v>
      </c>
      <c r="C69" t="s">
        <v>312</v>
      </c>
      <c r="D69" t="s">
        <v>30</v>
      </c>
      <c r="E69" t="s">
        <v>23</v>
      </c>
      <c r="F69" t="s">
        <v>45</v>
      </c>
      <c r="G69" t="s">
        <v>63</v>
      </c>
      <c r="H69">
        <v>78</v>
      </c>
      <c r="I69">
        <v>1</v>
      </c>
      <c r="J69">
        <v>0.2</v>
      </c>
      <c r="K69">
        <v>16</v>
      </c>
      <c r="L69" t="s">
        <v>26</v>
      </c>
    </row>
    <row r="70" spans="1:12" x14ac:dyDescent="0.3">
      <c r="A70" t="s">
        <v>313</v>
      </c>
      <c r="B70" t="s">
        <v>314</v>
      </c>
      <c r="C70" t="s">
        <v>315</v>
      </c>
      <c r="D70" t="s">
        <v>316</v>
      </c>
      <c r="E70" t="s">
        <v>23</v>
      </c>
      <c r="F70" t="s">
        <v>32</v>
      </c>
      <c r="G70" t="s">
        <v>68</v>
      </c>
      <c r="H70">
        <v>920</v>
      </c>
      <c r="I70">
        <v>1</v>
      </c>
      <c r="J70">
        <v>0.15</v>
      </c>
      <c r="K70">
        <v>105</v>
      </c>
      <c r="L70" t="s">
        <v>18</v>
      </c>
    </row>
    <row r="71" spans="1:12" x14ac:dyDescent="0.3">
      <c r="A71" t="s">
        <v>317</v>
      </c>
      <c r="B71" t="s">
        <v>318</v>
      </c>
      <c r="C71" t="s">
        <v>319</v>
      </c>
      <c r="D71" t="s">
        <v>320</v>
      </c>
      <c r="E71" t="s">
        <v>23</v>
      </c>
      <c r="F71" t="s">
        <v>16</v>
      </c>
      <c r="G71" t="s">
        <v>73</v>
      </c>
      <c r="H71">
        <v>105</v>
      </c>
      <c r="I71">
        <v>0</v>
      </c>
      <c r="J71">
        <v>0</v>
      </c>
      <c r="K71">
        <v>22</v>
      </c>
      <c r="L71" t="s">
        <v>74</v>
      </c>
    </row>
    <row r="72" spans="1:12" x14ac:dyDescent="0.3">
      <c r="A72" t="s">
        <v>321</v>
      </c>
      <c r="B72" t="s">
        <v>322</v>
      </c>
      <c r="C72" t="s">
        <v>323</v>
      </c>
      <c r="D72" t="s">
        <v>324</v>
      </c>
      <c r="E72" t="s">
        <v>23</v>
      </c>
      <c r="F72" t="s">
        <v>45</v>
      </c>
      <c r="G72" t="s">
        <v>79</v>
      </c>
      <c r="H72">
        <v>125</v>
      </c>
      <c r="I72">
        <v>-1</v>
      </c>
      <c r="J72">
        <v>0</v>
      </c>
      <c r="K72">
        <v>32</v>
      </c>
      <c r="L72" t="s">
        <v>18</v>
      </c>
    </row>
    <row r="73" spans="1:12" x14ac:dyDescent="0.3">
      <c r="A73" t="s">
        <v>325</v>
      </c>
      <c r="B73" t="s">
        <v>326</v>
      </c>
      <c r="C73" t="s">
        <v>327</v>
      </c>
      <c r="D73" t="s">
        <v>328</v>
      </c>
      <c r="E73" t="s">
        <v>23</v>
      </c>
      <c r="F73" t="s">
        <v>32</v>
      </c>
      <c r="G73" t="s">
        <v>84</v>
      </c>
      <c r="H73">
        <v>355</v>
      </c>
      <c r="I73">
        <v>1</v>
      </c>
      <c r="J73">
        <v>0.1</v>
      </c>
      <c r="K73">
        <v>42</v>
      </c>
      <c r="L73" t="s">
        <v>26</v>
      </c>
    </row>
    <row r="74" spans="1:12" x14ac:dyDescent="0.3">
      <c r="A74" t="s">
        <v>329</v>
      </c>
      <c r="B74" t="s">
        <v>330</v>
      </c>
      <c r="C74" t="s">
        <v>331</v>
      </c>
      <c r="D74" t="s">
        <v>332</v>
      </c>
      <c r="E74" t="s">
        <v>23</v>
      </c>
      <c r="F74" t="s">
        <v>16</v>
      </c>
      <c r="G74" t="s">
        <v>89</v>
      </c>
      <c r="H74">
        <v>255</v>
      </c>
      <c r="I74">
        <v>2</v>
      </c>
      <c r="J74">
        <v>0.05</v>
      </c>
      <c r="K74">
        <v>32</v>
      </c>
      <c r="L74" t="s">
        <v>18</v>
      </c>
    </row>
    <row r="75" spans="1:12" x14ac:dyDescent="0.3">
      <c r="A75" t="s">
        <v>333</v>
      </c>
      <c r="B75" t="s">
        <v>334</v>
      </c>
      <c r="C75" t="s">
        <v>335</v>
      </c>
      <c r="D75" t="s">
        <v>336</v>
      </c>
      <c r="E75" t="s">
        <v>23</v>
      </c>
      <c r="F75" t="s">
        <v>45</v>
      </c>
      <c r="G75" t="s">
        <v>95</v>
      </c>
      <c r="H75">
        <v>155</v>
      </c>
      <c r="I75">
        <v>1</v>
      </c>
      <c r="J75">
        <v>0</v>
      </c>
      <c r="K75">
        <v>28</v>
      </c>
      <c r="L75" t="s">
        <v>26</v>
      </c>
    </row>
    <row r="76" spans="1:12" x14ac:dyDescent="0.3">
      <c r="A76" t="s">
        <v>337</v>
      </c>
      <c r="B76" t="s">
        <v>338</v>
      </c>
      <c r="C76" t="s">
        <v>138</v>
      </c>
      <c r="D76" t="s">
        <v>339</v>
      </c>
      <c r="E76" t="s">
        <v>23</v>
      </c>
      <c r="F76" t="s">
        <v>32</v>
      </c>
      <c r="G76" t="s">
        <v>100</v>
      </c>
      <c r="H76">
        <v>205</v>
      </c>
      <c r="I76">
        <v>1</v>
      </c>
      <c r="J76">
        <v>0.1</v>
      </c>
      <c r="K76">
        <v>22</v>
      </c>
      <c r="L76" t="s">
        <v>18</v>
      </c>
    </row>
    <row r="77" spans="1:12" x14ac:dyDescent="0.3">
      <c r="A77" t="s">
        <v>313</v>
      </c>
      <c r="B77" t="s">
        <v>314</v>
      </c>
      <c r="C77" t="s">
        <v>315</v>
      </c>
      <c r="D77" t="s">
        <v>316</v>
      </c>
      <c r="E77" t="s">
        <v>23</v>
      </c>
      <c r="F77" t="s">
        <v>32</v>
      </c>
      <c r="G77" t="s">
        <v>68</v>
      </c>
      <c r="H77">
        <v>920</v>
      </c>
      <c r="I77">
        <v>1</v>
      </c>
      <c r="J77">
        <v>0.15</v>
      </c>
      <c r="K77">
        <v>105</v>
      </c>
      <c r="L77" t="s">
        <v>18</v>
      </c>
    </row>
    <row r="78" spans="1:12" x14ac:dyDescent="0.3">
      <c r="A78" t="s">
        <v>340</v>
      </c>
      <c r="B78" t="s">
        <v>341</v>
      </c>
      <c r="C78" t="s">
        <v>342</v>
      </c>
      <c r="D78" t="s">
        <v>343</v>
      </c>
      <c r="E78" t="s">
        <v>23</v>
      </c>
      <c r="F78" t="s">
        <v>16</v>
      </c>
      <c r="G78" t="s">
        <v>106</v>
      </c>
      <c r="H78">
        <v>205</v>
      </c>
      <c r="I78">
        <v>1</v>
      </c>
      <c r="J78">
        <v>0</v>
      </c>
      <c r="K78">
        <v>42</v>
      </c>
      <c r="L78" t="s">
        <v>26</v>
      </c>
    </row>
    <row r="79" spans="1:12" x14ac:dyDescent="0.3">
      <c r="A79" t="s">
        <v>344</v>
      </c>
      <c r="B79" t="s">
        <v>345</v>
      </c>
      <c r="C79" t="s">
        <v>346</v>
      </c>
      <c r="D79" t="s">
        <v>347</v>
      </c>
      <c r="E79" t="s">
        <v>23</v>
      </c>
      <c r="F79" t="s">
        <v>45</v>
      </c>
      <c r="G79" t="s">
        <v>112</v>
      </c>
      <c r="H79">
        <v>62</v>
      </c>
      <c r="I79">
        <v>2</v>
      </c>
      <c r="J79">
        <v>0.1</v>
      </c>
      <c r="K79">
        <v>11</v>
      </c>
      <c r="L79" t="s">
        <v>18</v>
      </c>
    </row>
    <row r="80" spans="1:12" x14ac:dyDescent="0.3">
      <c r="A80" t="s">
        <v>348</v>
      </c>
      <c r="B80" t="s">
        <v>349</v>
      </c>
      <c r="C80" t="s">
        <v>350</v>
      </c>
      <c r="D80" t="s">
        <v>30</v>
      </c>
      <c r="E80" t="s">
        <v>23</v>
      </c>
      <c r="F80" t="s">
        <v>32</v>
      </c>
      <c r="G80" t="s">
        <v>117</v>
      </c>
      <c r="H80">
        <v>1020</v>
      </c>
      <c r="I80">
        <v>1</v>
      </c>
      <c r="J80">
        <v>0.2</v>
      </c>
      <c r="K80">
        <v>155</v>
      </c>
      <c r="L80" t="s">
        <v>26</v>
      </c>
    </row>
    <row r="81" spans="1:12" x14ac:dyDescent="0.3">
      <c r="A81" t="s">
        <v>351</v>
      </c>
      <c r="B81" t="s">
        <v>352</v>
      </c>
      <c r="C81" t="s">
        <v>353</v>
      </c>
      <c r="D81" t="s">
        <v>354</v>
      </c>
      <c r="E81" t="s">
        <v>23</v>
      </c>
      <c r="F81" t="s">
        <v>16</v>
      </c>
      <c r="G81" t="s">
        <v>123</v>
      </c>
      <c r="H81">
        <v>620</v>
      </c>
      <c r="I81">
        <v>1</v>
      </c>
      <c r="J81">
        <v>0</v>
      </c>
      <c r="K81">
        <v>85</v>
      </c>
      <c r="L81" t="s">
        <v>40</v>
      </c>
    </row>
    <row r="82" spans="1:12" x14ac:dyDescent="0.3">
      <c r="A82" t="s">
        <v>355</v>
      </c>
      <c r="B82" t="s">
        <v>356</v>
      </c>
      <c r="C82" t="s">
        <v>357</v>
      </c>
      <c r="D82" t="s">
        <v>358</v>
      </c>
      <c r="E82" t="s">
        <v>23</v>
      </c>
      <c r="F82" t="s">
        <v>45</v>
      </c>
      <c r="G82" t="s">
        <v>129</v>
      </c>
      <c r="H82">
        <v>32</v>
      </c>
      <c r="I82">
        <v>3</v>
      </c>
      <c r="J82">
        <v>0</v>
      </c>
      <c r="K82">
        <v>6</v>
      </c>
      <c r="L82" t="s">
        <v>26</v>
      </c>
    </row>
    <row r="83" spans="1:12" x14ac:dyDescent="0.3">
      <c r="A83" t="s">
        <v>359</v>
      </c>
      <c r="B83" t="s">
        <v>360</v>
      </c>
      <c r="C83" t="s">
        <v>361</v>
      </c>
      <c r="D83" t="s">
        <v>362</v>
      </c>
      <c r="E83" t="s">
        <v>23</v>
      </c>
      <c r="F83" t="s">
        <v>32</v>
      </c>
      <c r="G83" t="s">
        <v>135</v>
      </c>
      <c r="H83">
        <v>-320</v>
      </c>
      <c r="I83">
        <v>1</v>
      </c>
      <c r="J83">
        <v>0</v>
      </c>
      <c r="K83">
        <v>-22</v>
      </c>
      <c r="L83" t="s">
        <v>18</v>
      </c>
    </row>
    <row r="84" spans="1:12" x14ac:dyDescent="0.3">
      <c r="A84" t="s">
        <v>363</v>
      </c>
      <c r="B84" t="s">
        <v>364</v>
      </c>
      <c r="C84" t="s">
        <v>365</v>
      </c>
      <c r="D84" t="s">
        <v>366</v>
      </c>
      <c r="E84" t="s">
        <v>23</v>
      </c>
      <c r="F84" t="s">
        <v>16</v>
      </c>
      <c r="G84" t="s">
        <v>141</v>
      </c>
      <c r="H84">
        <v>82</v>
      </c>
      <c r="I84">
        <v>2</v>
      </c>
      <c r="J84">
        <v>0.1</v>
      </c>
      <c r="K84">
        <v>16</v>
      </c>
      <c r="L84" t="s">
        <v>26</v>
      </c>
    </row>
    <row r="85" spans="1:12" x14ac:dyDescent="0.3">
      <c r="A85" t="s">
        <v>367</v>
      </c>
      <c r="B85" t="s">
        <v>368</v>
      </c>
      <c r="C85" t="s">
        <v>369</v>
      </c>
      <c r="D85" t="s">
        <v>370</v>
      </c>
      <c r="E85" t="s">
        <v>23</v>
      </c>
      <c r="F85" t="s">
        <v>45</v>
      </c>
      <c r="G85" t="s">
        <v>146</v>
      </c>
      <c r="H85">
        <v>16</v>
      </c>
      <c r="I85">
        <v>5</v>
      </c>
      <c r="J85">
        <v>0</v>
      </c>
      <c r="K85">
        <v>5</v>
      </c>
      <c r="L85" t="s">
        <v>18</v>
      </c>
    </row>
    <row r="86" spans="1:12" x14ac:dyDescent="0.3">
      <c r="A86" t="s">
        <v>371</v>
      </c>
      <c r="B86" t="s">
        <v>372</v>
      </c>
      <c r="C86" t="s">
        <v>373</v>
      </c>
      <c r="D86" t="s">
        <v>374</v>
      </c>
      <c r="E86" t="s">
        <v>23</v>
      </c>
      <c r="F86" t="s">
        <v>32</v>
      </c>
      <c r="G86" t="s">
        <v>152</v>
      </c>
      <c r="H86">
        <v>42</v>
      </c>
      <c r="I86">
        <v>4</v>
      </c>
      <c r="J86">
        <v>0</v>
      </c>
      <c r="K86">
        <v>11</v>
      </c>
      <c r="L86" t="s">
        <v>26</v>
      </c>
    </row>
    <row r="87" spans="1:12" x14ac:dyDescent="0.3">
      <c r="A87" t="s">
        <v>375</v>
      </c>
      <c r="B87" t="s">
        <v>376</v>
      </c>
      <c r="C87" t="s">
        <v>377</v>
      </c>
      <c r="D87" t="s">
        <v>378</v>
      </c>
      <c r="E87" t="s">
        <v>23</v>
      </c>
      <c r="F87" t="s">
        <v>16</v>
      </c>
      <c r="G87" t="s">
        <v>158</v>
      </c>
      <c r="H87">
        <v>52</v>
      </c>
      <c r="I87">
        <v>2</v>
      </c>
      <c r="J87">
        <v>0</v>
      </c>
      <c r="K87">
        <v>11</v>
      </c>
      <c r="L87" t="s">
        <v>18</v>
      </c>
    </row>
    <row r="88" spans="1:12" x14ac:dyDescent="0.3">
      <c r="A88" t="s">
        <v>379</v>
      </c>
      <c r="B88" t="s">
        <v>380</v>
      </c>
      <c r="C88" t="s">
        <v>381</v>
      </c>
      <c r="D88" t="s">
        <v>30</v>
      </c>
      <c r="E88" t="s">
        <v>23</v>
      </c>
      <c r="F88" t="s">
        <v>45</v>
      </c>
      <c r="G88" t="s">
        <v>163</v>
      </c>
      <c r="H88">
        <v>21</v>
      </c>
      <c r="I88">
        <v>1</v>
      </c>
      <c r="J88">
        <v>0</v>
      </c>
      <c r="K88">
        <v>5</v>
      </c>
      <c r="L88" t="s">
        <v>26</v>
      </c>
    </row>
    <row r="89" spans="1:12" x14ac:dyDescent="0.3">
      <c r="A89" t="s">
        <v>382</v>
      </c>
      <c r="B89" t="s">
        <v>383</v>
      </c>
      <c r="C89" t="s">
        <v>384</v>
      </c>
      <c r="D89" t="s">
        <v>385</v>
      </c>
      <c r="E89" t="s">
        <v>23</v>
      </c>
      <c r="F89" t="s">
        <v>32</v>
      </c>
      <c r="G89" t="s">
        <v>168</v>
      </c>
      <c r="H89">
        <v>62</v>
      </c>
      <c r="I89">
        <v>2</v>
      </c>
      <c r="J89">
        <v>0.1</v>
      </c>
      <c r="K89">
        <v>11</v>
      </c>
      <c r="L89" t="s">
        <v>18</v>
      </c>
    </row>
    <row r="90" spans="1:12" x14ac:dyDescent="0.3">
      <c r="A90" t="s">
        <v>386</v>
      </c>
      <c r="B90" t="s">
        <v>387</v>
      </c>
      <c r="C90" t="s">
        <v>388</v>
      </c>
      <c r="D90" t="s">
        <v>389</v>
      </c>
      <c r="E90" t="s">
        <v>23</v>
      </c>
      <c r="F90" t="s">
        <v>16</v>
      </c>
      <c r="G90" t="s">
        <v>174</v>
      </c>
      <c r="H90">
        <v>26</v>
      </c>
      <c r="I90">
        <v>3</v>
      </c>
      <c r="J90">
        <v>0</v>
      </c>
      <c r="K90">
        <v>5</v>
      </c>
      <c r="L90" t="s">
        <v>74</v>
      </c>
    </row>
    <row r="91" spans="1:12" x14ac:dyDescent="0.3">
      <c r="A91" t="s">
        <v>390</v>
      </c>
      <c r="B91" t="s">
        <v>391</v>
      </c>
      <c r="C91" t="s">
        <v>392</v>
      </c>
      <c r="D91" t="s">
        <v>37</v>
      </c>
      <c r="E91" t="s">
        <v>38</v>
      </c>
      <c r="F91" t="s">
        <v>16</v>
      </c>
      <c r="G91" t="s">
        <v>17</v>
      </c>
      <c r="H91">
        <v>1180</v>
      </c>
      <c r="I91">
        <v>1</v>
      </c>
      <c r="J91">
        <v>0.1</v>
      </c>
      <c r="K91">
        <v>145</v>
      </c>
      <c r="L91" t="s">
        <v>18</v>
      </c>
    </row>
    <row r="92" spans="1:12" x14ac:dyDescent="0.3">
      <c r="A92" t="s">
        <v>393</v>
      </c>
      <c r="B92" t="s">
        <v>394</v>
      </c>
      <c r="C92" t="s">
        <v>395</v>
      </c>
      <c r="D92" t="s">
        <v>396</v>
      </c>
      <c r="E92" t="s">
        <v>38</v>
      </c>
      <c r="F92" t="s">
        <v>24</v>
      </c>
      <c r="G92" t="s">
        <v>25</v>
      </c>
      <c r="H92">
        <v>24</v>
      </c>
      <c r="I92">
        <v>2</v>
      </c>
      <c r="J92">
        <v>0</v>
      </c>
      <c r="K92">
        <v>9</v>
      </c>
      <c r="L92" t="s">
        <v>26</v>
      </c>
    </row>
    <row r="93" spans="1:12" x14ac:dyDescent="0.3">
      <c r="A93" t="s">
        <v>397</v>
      </c>
      <c r="B93" t="s">
        <v>398</v>
      </c>
      <c r="C93" t="s">
        <v>399</v>
      </c>
      <c r="D93" t="s">
        <v>30</v>
      </c>
      <c r="E93" t="s">
        <v>38</v>
      </c>
      <c r="F93" t="s">
        <v>32</v>
      </c>
      <c r="G93" t="s">
        <v>33</v>
      </c>
      <c r="H93">
        <v>-490</v>
      </c>
      <c r="I93">
        <v>1</v>
      </c>
      <c r="J93">
        <v>0</v>
      </c>
      <c r="K93">
        <v>-48</v>
      </c>
      <c r="L93" t="s">
        <v>18</v>
      </c>
    </row>
    <row r="94" spans="1:12" x14ac:dyDescent="0.3">
      <c r="A94" t="s">
        <v>400</v>
      </c>
      <c r="B94" t="s">
        <v>401</v>
      </c>
      <c r="C94" t="s">
        <v>402</v>
      </c>
      <c r="D94" t="s">
        <v>403</v>
      </c>
      <c r="E94" t="s">
        <v>38</v>
      </c>
      <c r="F94" t="s">
        <v>16</v>
      </c>
      <c r="G94" t="s">
        <v>39</v>
      </c>
      <c r="H94">
        <v>810</v>
      </c>
      <c r="I94">
        <v>1</v>
      </c>
      <c r="J94">
        <v>0.05</v>
      </c>
      <c r="K94">
        <v>102</v>
      </c>
      <c r="L94" t="s">
        <v>40</v>
      </c>
    </row>
    <row r="95" spans="1:12" x14ac:dyDescent="0.3">
      <c r="A95" t="s">
        <v>404</v>
      </c>
      <c r="B95" t="s">
        <v>405</v>
      </c>
      <c r="C95" t="s">
        <v>406</v>
      </c>
      <c r="D95" t="s">
        <v>407</v>
      </c>
      <c r="E95" t="s">
        <v>38</v>
      </c>
      <c r="F95" t="s">
        <v>45</v>
      </c>
      <c r="G95" t="s">
        <v>46</v>
      </c>
      <c r="H95">
        <v>51</v>
      </c>
      <c r="I95">
        <v>3</v>
      </c>
      <c r="J95">
        <v>0</v>
      </c>
      <c r="K95">
        <v>15</v>
      </c>
      <c r="L95" t="s">
        <v>26</v>
      </c>
    </row>
    <row r="96" spans="1:12" x14ac:dyDescent="0.3">
      <c r="A96" t="s">
        <v>408</v>
      </c>
      <c r="B96" t="s">
        <v>409</v>
      </c>
      <c r="C96" t="s">
        <v>410</v>
      </c>
      <c r="D96" t="s">
        <v>411</v>
      </c>
      <c r="E96" t="s">
        <v>38</v>
      </c>
      <c r="F96" t="s">
        <v>52</v>
      </c>
      <c r="G96" t="s">
        <v>53</v>
      </c>
      <c r="H96">
        <v>152</v>
      </c>
      <c r="I96">
        <v>4</v>
      </c>
      <c r="J96">
        <v>0.1</v>
      </c>
      <c r="K96">
        <v>20</v>
      </c>
      <c r="L96" t="s">
        <v>26</v>
      </c>
    </row>
    <row r="97" spans="1:12" x14ac:dyDescent="0.3">
      <c r="A97" t="s">
        <v>412</v>
      </c>
      <c r="B97" t="s">
        <v>413</v>
      </c>
      <c r="C97" t="s">
        <v>414</v>
      </c>
      <c r="D97" t="s">
        <v>415</v>
      </c>
      <c r="E97" t="s">
        <v>38</v>
      </c>
      <c r="F97" t="s">
        <v>16</v>
      </c>
      <c r="G97" t="s">
        <v>59</v>
      </c>
      <c r="H97">
        <v>302</v>
      </c>
      <c r="I97">
        <v>2</v>
      </c>
      <c r="J97">
        <v>0</v>
      </c>
      <c r="K97">
        <v>41</v>
      </c>
      <c r="L97" t="s">
        <v>18</v>
      </c>
    </row>
    <row r="98" spans="1:12" x14ac:dyDescent="0.3">
      <c r="A98" t="s">
        <v>416</v>
      </c>
      <c r="B98" t="s">
        <v>417</v>
      </c>
      <c r="C98" t="s">
        <v>418</v>
      </c>
      <c r="D98" t="s">
        <v>30</v>
      </c>
      <c r="E98" t="s">
        <v>38</v>
      </c>
      <c r="F98" t="s">
        <v>45</v>
      </c>
      <c r="G98" t="s">
        <v>63</v>
      </c>
      <c r="H98">
        <v>76</v>
      </c>
      <c r="I98">
        <v>1</v>
      </c>
      <c r="J98">
        <v>0.2</v>
      </c>
      <c r="K98">
        <v>15</v>
      </c>
      <c r="L98" t="s">
        <v>26</v>
      </c>
    </row>
    <row r="99" spans="1:12" x14ac:dyDescent="0.3">
      <c r="A99" t="s">
        <v>419</v>
      </c>
      <c r="B99" t="s">
        <v>420</v>
      </c>
      <c r="C99" t="s">
        <v>421</v>
      </c>
      <c r="D99" t="s">
        <v>422</v>
      </c>
      <c r="E99" t="s">
        <v>38</v>
      </c>
      <c r="F99" t="s">
        <v>32</v>
      </c>
      <c r="G99" t="s">
        <v>68</v>
      </c>
      <c r="H99">
        <v>910</v>
      </c>
      <c r="I99">
        <v>1</v>
      </c>
      <c r="J99">
        <v>0.15</v>
      </c>
      <c r="K99">
        <v>102</v>
      </c>
      <c r="L99" t="s">
        <v>18</v>
      </c>
    </row>
    <row r="100" spans="1:12" x14ac:dyDescent="0.3">
      <c r="A100" t="s">
        <v>397</v>
      </c>
      <c r="B100" t="s">
        <v>398</v>
      </c>
      <c r="C100" t="s">
        <v>399</v>
      </c>
      <c r="D100" t="s">
        <v>30</v>
      </c>
      <c r="E100" t="s">
        <v>38</v>
      </c>
      <c r="F100" t="s">
        <v>32</v>
      </c>
      <c r="G100" t="s">
        <v>33</v>
      </c>
      <c r="H100">
        <v>-490</v>
      </c>
      <c r="I100">
        <v>1</v>
      </c>
      <c r="J100">
        <v>0</v>
      </c>
      <c r="K100">
        <v>-48</v>
      </c>
      <c r="L100" t="s">
        <v>18</v>
      </c>
    </row>
    <row r="101" spans="1:12" x14ac:dyDescent="0.3">
      <c r="A101" t="s">
        <v>423</v>
      </c>
      <c r="B101" t="s">
        <v>424</v>
      </c>
      <c r="C101" t="s">
        <v>425</v>
      </c>
      <c r="D101" t="s">
        <v>426</v>
      </c>
      <c r="E101" t="s">
        <v>38</v>
      </c>
      <c r="F101" t="s">
        <v>16</v>
      </c>
      <c r="G101" t="s">
        <v>73</v>
      </c>
      <c r="H101">
        <v>102</v>
      </c>
      <c r="I101">
        <v>0</v>
      </c>
      <c r="J101">
        <v>0</v>
      </c>
      <c r="K101">
        <v>21</v>
      </c>
      <c r="L101" t="s">
        <v>74</v>
      </c>
    </row>
    <row r="102" spans="1:12" x14ac:dyDescent="0.3">
      <c r="A102" t="s">
        <v>427</v>
      </c>
      <c r="B102" t="s">
        <v>428</v>
      </c>
      <c r="C102" t="s">
        <v>429</v>
      </c>
      <c r="D102" t="s">
        <v>430</v>
      </c>
      <c r="E102" t="s">
        <v>38</v>
      </c>
      <c r="F102" t="s">
        <v>45</v>
      </c>
      <c r="G102" t="s">
        <v>79</v>
      </c>
      <c r="H102">
        <v>122</v>
      </c>
      <c r="I102">
        <v>-1</v>
      </c>
      <c r="J102">
        <v>0</v>
      </c>
      <c r="K102">
        <v>31</v>
      </c>
      <c r="L102" t="s">
        <v>18</v>
      </c>
    </row>
    <row r="103" spans="1:12" x14ac:dyDescent="0.3">
      <c r="A103" t="s">
        <v>431</v>
      </c>
      <c r="B103" t="s">
        <v>432</v>
      </c>
      <c r="C103" t="s">
        <v>433</v>
      </c>
      <c r="D103" t="s">
        <v>434</v>
      </c>
      <c r="E103" t="s">
        <v>38</v>
      </c>
      <c r="F103" t="s">
        <v>32</v>
      </c>
      <c r="G103" t="s">
        <v>84</v>
      </c>
      <c r="H103">
        <v>352</v>
      </c>
      <c r="I103">
        <v>1</v>
      </c>
      <c r="J103">
        <v>0.1</v>
      </c>
      <c r="K103">
        <v>41</v>
      </c>
      <c r="L103" t="s">
        <v>26</v>
      </c>
    </row>
    <row r="104" spans="1:12" x14ac:dyDescent="0.3">
      <c r="A104" t="s">
        <v>435</v>
      </c>
      <c r="B104" t="s">
        <v>436</v>
      </c>
      <c r="C104" t="s">
        <v>437</v>
      </c>
      <c r="D104" t="s">
        <v>438</v>
      </c>
      <c r="E104" t="s">
        <v>38</v>
      </c>
      <c r="F104" t="s">
        <v>16</v>
      </c>
      <c r="G104" t="s">
        <v>89</v>
      </c>
      <c r="H104">
        <v>252</v>
      </c>
      <c r="I104">
        <v>2</v>
      </c>
      <c r="J104">
        <v>0.05</v>
      </c>
      <c r="K104">
        <v>31</v>
      </c>
      <c r="L104" t="s">
        <v>18</v>
      </c>
    </row>
    <row r="105" spans="1:12" x14ac:dyDescent="0.3">
      <c r="A105" t="s">
        <v>439</v>
      </c>
      <c r="B105" t="s">
        <v>440</v>
      </c>
      <c r="C105" t="s">
        <v>441</v>
      </c>
      <c r="D105" t="s">
        <v>442</v>
      </c>
      <c r="E105" t="s">
        <v>38</v>
      </c>
      <c r="F105" t="s">
        <v>45</v>
      </c>
      <c r="G105" t="s">
        <v>95</v>
      </c>
      <c r="H105">
        <v>152</v>
      </c>
      <c r="I105">
        <v>1</v>
      </c>
      <c r="J105">
        <v>0</v>
      </c>
      <c r="K105">
        <v>26</v>
      </c>
      <c r="L105" t="s">
        <v>26</v>
      </c>
    </row>
    <row r="106" spans="1:12" x14ac:dyDescent="0.3">
      <c r="A106" t="s">
        <v>443</v>
      </c>
      <c r="B106" t="s">
        <v>444</v>
      </c>
      <c r="C106" t="s">
        <v>445</v>
      </c>
      <c r="D106" t="s">
        <v>446</v>
      </c>
      <c r="E106" t="s">
        <v>38</v>
      </c>
      <c r="F106" t="s">
        <v>32</v>
      </c>
      <c r="G106" t="s">
        <v>100</v>
      </c>
      <c r="H106">
        <v>202</v>
      </c>
      <c r="I106">
        <v>1</v>
      </c>
      <c r="J106">
        <v>0.1</v>
      </c>
      <c r="K106">
        <v>21</v>
      </c>
      <c r="L106" t="s">
        <v>18</v>
      </c>
    </row>
    <row r="107" spans="1:12" x14ac:dyDescent="0.3">
      <c r="A107" t="s">
        <v>447</v>
      </c>
      <c r="B107" t="s">
        <v>448</v>
      </c>
      <c r="C107" t="s">
        <v>449</v>
      </c>
      <c r="D107" t="s">
        <v>450</v>
      </c>
      <c r="E107" t="s">
        <v>38</v>
      </c>
      <c r="F107" t="s">
        <v>16</v>
      </c>
      <c r="G107" t="s">
        <v>106</v>
      </c>
      <c r="H107">
        <v>202</v>
      </c>
      <c r="I107">
        <v>1</v>
      </c>
      <c r="J107">
        <v>0</v>
      </c>
      <c r="K107">
        <v>41</v>
      </c>
      <c r="L107" t="s">
        <v>26</v>
      </c>
    </row>
    <row r="108" spans="1:12" x14ac:dyDescent="0.3">
      <c r="A108" t="s">
        <v>451</v>
      </c>
      <c r="B108" t="s">
        <v>452</v>
      </c>
      <c r="C108" t="s">
        <v>453</v>
      </c>
      <c r="D108" t="s">
        <v>454</v>
      </c>
      <c r="E108" t="s">
        <v>38</v>
      </c>
      <c r="F108" t="s">
        <v>45</v>
      </c>
      <c r="G108" t="s">
        <v>112</v>
      </c>
      <c r="H108">
        <v>61</v>
      </c>
      <c r="I108">
        <v>2</v>
      </c>
      <c r="J108">
        <v>0.1</v>
      </c>
      <c r="K108">
        <v>10</v>
      </c>
      <c r="L108" t="s">
        <v>18</v>
      </c>
    </row>
    <row r="109" spans="1:12" x14ac:dyDescent="0.3">
      <c r="A109" t="s">
        <v>455</v>
      </c>
      <c r="B109" t="s">
        <v>456</v>
      </c>
      <c r="C109" t="s">
        <v>457</v>
      </c>
      <c r="D109" t="s">
        <v>30</v>
      </c>
      <c r="E109" t="s">
        <v>38</v>
      </c>
      <c r="F109" t="s">
        <v>32</v>
      </c>
      <c r="G109" t="s">
        <v>117</v>
      </c>
      <c r="H109">
        <v>1010</v>
      </c>
      <c r="I109">
        <v>1</v>
      </c>
      <c r="J109">
        <v>0.2</v>
      </c>
      <c r="K109">
        <v>152</v>
      </c>
      <c r="L109" t="s">
        <v>26</v>
      </c>
    </row>
    <row r="110" spans="1:12" x14ac:dyDescent="0.3">
      <c r="A110" t="s">
        <v>458</v>
      </c>
      <c r="B110" t="s">
        <v>459</v>
      </c>
      <c r="C110" t="s">
        <v>460</v>
      </c>
      <c r="D110" t="s">
        <v>461</v>
      </c>
      <c r="E110" t="s">
        <v>38</v>
      </c>
      <c r="F110" t="s">
        <v>16</v>
      </c>
      <c r="G110" t="s">
        <v>123</v>
      </c>
      <c r="H110">
        <v>610</v>
      </c>
      <c r="I110">
        <v>1</v>
      </c>
      <c r="J110">
        <v>0</v>
      </c>
      <c r="K110">
        <v>82</v>
      </c>
      <c r="L110" t="s">
        <v>40</v>
      </c>
    </row>
    <row r="111" spans="1:12" x14ac:dyDescent="0.3">
      <c r="A111" t="s">
        <v>462</v>
      </c>
      <c r="B111" t="s">
        <v>463</v>
      </c>
      <c r="C111" t="s">
        <v>464</v>
      </c>
      <c r="D111" t="s">
        <v>465</v>
      </c>
      <c r="E111" t="s">
        <v>38</v>
      </c>
      <c r="F111" t="s">
        <v>45</v>
      </c>
      <c r="G111" t="s">
        <v>129</v>
      </c>
      <c r="H111">
        <v>31</v>
      </c>
      <c r="I111">
        <v>3</v>
      </c>
      <c r="J111">
        <v>0</v>
      </c>
      <c r="K111">
        <v>5</v>
      </c>
      <c r="L111" t="s">
        <v>26</v>
      </c>
    </row>
    <row r="112" spans="1:12" x14ac:dyDescent="0.3">
      <c r="A112" t="s">
        <v>466</v>
      </c>
      <c r="B112" t="s">
        <v>467</v>
      </c>
      <c r="C112" t="s">
        <v>468</v>
      </c>
      <c r="D112" t="s">
        <v>469</v>
      </c>
      <c r="E112" t="s">
        <v>38</v>
      </c>
      <c r="F112" t="s">
        <v>32</v>
      </c>
      <c r="G112" t="s">
        <v>135</v>
      </c>
      <c r="H112">
        <v>-310</v>
      </c>
      <c r="I112">
        <v>1</v>
      </c>
      <c r="J112">
        <v>0</v>
      </c>
      <c r="K112">
        <v>-21</v>
      </c>
      <c r="L112" t="s">
        <v>18</v>
      </c>
    </row>
    <row r="113" spans="1:12" x14ac:dyDescent="0.3">
      <c r="A113" t="s">
        <v>470</v>
      </c>
      <c r="B113" t="s">
        <v>471</v>
      </c>
      <c r="C113" t="s">
        <v>472</v>
      </c>
      <c r="D113" t="s">
        <v>473</v>
      </c>
      <c r="E113" t="s">
        <v>38</v>
      </c>
      <c r="F113" t="s">
        <v>16</v>
      </c>
      <c r="G113" t="s">
        <v>141</v>
      </c>
      <c r="H113">
        <v>81</v>
      </c>
      <c r="I113">
        <v>2</v>
      </c>
      <c r="J113">
        <v>0.1</v>
      </c>
      <c r="K113">
        <v>15</v>
      </c>
      <c r="L113" t="s">
        <v>26</v>
      </c>
    </row>
    <row r="114" spans="1:12" x14ac:dyDescent="0.3">
      <c r="A114" t="s">
        <v>474</v>
      </c>
      <c r="B114" t="s">
        <v>475</v>
      </c>
      <c r="C114" t="s">
        <v>476</v>
      </c>
      <c r="D114" t="s">
        <v>477</v>
      </c>
      <c r="E114" t="s">
        <v>38</v>
      </c>
      <c r="F114" t="s">
        <v>45</v>
      </c>
      <c r="G114" t="s">
        <v>146</v>
      </c>
      <c r="H114">
        <v>15</v>
      </c>
      <c r="I114">
        <v>5</v>
      </c>
      <c r="J114">
        <v>0</v>
      </c>
      <c r="K114">
        <v>5</v>
      </c>
      <c r="L114" t="s">
        <v>18</v>
      </c>
    </row>
    <row r="115" spans="1:12" x14ac:dyDescent="0.3">
      <c r="A115" t="s">
        <v>478</v>
      </c>
      <c r="B115" t="s">
        <v>479</v>
      </c>
      <c r="C115" t="s">
        <v>480</v>
      </c>
      <c r="D115" t="s">
        <v>481</v>
      </c>
      <c r="E115" t="s">
        <v>38</v>
      </c>
      <c r="F115" t="s">
        <v>32</v>
      </c>
      <c r="G115" t="s">
        <v>152</v>
      </c>
      <c r="H115">
        <v>41</v>
      </c>
      <c r="I115">
        <v>4</v>
      </c>
      <c r="J115">
        <v>0</v>
      </c>
      <c r="K115">
        <v>10</v>
      </c>
      <c r="L115" t="s">
        <v>26</v>
      </c>
    </row>
    <row r="116" spans="1:12" x14ac:dyDescent="0.3">
      <c r="A116" t="s">
        <v>482</v>
      </c>
      <c r="B116" t="s">
        <v>483</v>
      </c>
      <c r="C116" t="s">
        <v>484</v>
      </c>
      <c r="D116" t="s">
        <v>485</v>
      </c>
      <c r="E116" t="s">
        <v>38</v>
      </c>
      <c r="F116" t="s">
        <v>16</v>
      </c>
      <c r="G116" t="s">
        <v>158</v>
      </c>
      <c r="H116">
        <v>51</v>
      </c>
      <c r="I116">
        <v>2</v>
      </c>
      <c r="J116">
        <v>0</v>
      </c>
      <c r="K116">
        <v>10</v>
      </c>
      <c r="L116" t="s">
        <v>18</v>
      </c>
    </row>
    <row r="117" spans="1:12" x14ac:dyDescent="0.3">
      <c r="A117" t="s">
        <v>486</v>
      </c>
      <c r="B117" t="s">
        <v>487</v>
      </c>
      <c r="C117" t="s">
        <v>488</v>
      </c>
      <c r="D117" t="s">
        <v>30</v>
      </c>
      <c r="E117" t="s">
        <v>38</v>
      </c>
      <c r="F117" t="s">
        <v>45</v>
      </c>
      <c r="G117" t="s">
        <v>163</v>
      </c>
      <c r="H117">
        <v>20</v>
      </c>
      <c r="I117">
        <v>1</v>
      </c>
      <c r="J117">
        <v>0</v>
      </c>
      <c r="K117">
        <v>5</v>
      </c>
      <c r="L117" t="s">
        <v>26</v>
      </c>
    </row>
    <row r="118" spans="1:12" x14ac:dyDescent="0.3">
      <c r="A118" t="s">
        <v>489</v>
      </c>
      <c r="B118" t="s">
        <v>490</v>
      </c>
      <c r="C118" t="s">
        <v>491</v>
      </c>
      <c r="D118" t="s">
        <v>492</v>
      </c>
      <c r="E118" t="s">
        <v>38</v>
      </c>
      <c r="F118" t="s">
        <v>32</v>
      </c>
      <c r="G118" t="s">
        <v>168</v>
      </c>
      <c r="H118">
        <v>61</v>
      </c>
      <c r="I118">
        <v>2</v>
      </c>
      <c r="J118">
        <v>0.1</v>
      </c>
      <c r="K118">
        <v>10</v>
      </c>
      <c r="L118" t="s">
        <v>18</v>
      </c>
    </row>
    <row r="119" spans="1:12" x14ac:dyDescent="0.3">
      <c r="A119" t="s">
        <v>493</v>
      </c>
      <c r="B119" t="s">
        <v>494</v>
      </c>
      <c r="C119" t="s">
        <v>495</v>
      </c>
      <c r="D119" t="s">
        <v>496</v>
      </c>
      <c r="E119" t="s">
        <v>38</v>
      </c>
      <c r="F119" t="s">
        <v>16</v>
      </c>
      <c r="G119" t="s">
        <v>174</v>
      </c>
      <c r="H119">
        <v>25</v>
      </c>
      <c r="I119">
        <v>3</v>
      </c>
      <c r="J119">
        <v>0</v>
      </c>
      <c r="K119">
        <v>5</v>
      </c>
      <c r="L119" t="s">
        <v>74</v>
      </c>
    </row>
    <row r="120" spans="1:12" x14ac:dyDescent="0.3">
      <c r="A120" t="s">
        <v>497</v>
      </c>
      <c r="B120" t="s">
        <v>498</v>
      </c>
      <c r="C120" t="s">
        <v>499</v>
      </c>
      <c r="D120" t="s">
        <v>44</v>
      </c>
      <c r="E120" t="s">
        <v>31</v>
      </c>
      <c r="F120" t="s">
        <v>16</v>
      </c>
      <c r="G120" t="s">
        <v>17</v>
      </c>
      <c r="H120">
        <v>1190</v>
      </c>
      <c r="I120">
        <v>1</v>
      </c>
      <c r="J120">
        <v>0.1</v>
      </c>
      <c r="K120">
        <v>148</v>
      </c>
      <c r="L120" t="s">
        <v>18</v>
      </c>
    </row>
    <row r="121" spans="1:12" x14ac:dyDescent="0.3">
      <c r="A121" t="s">
        <v>500</v>
      </c>
      <c r="B121" t="s">
        <v>501</v>
      </c>
      <c r="C121" t="s">
        <v>502</v>
      </c>
      <c r="D121" t="s">
        <v>503</v>
      </c>
      <c r="E121" t="s">
        <v>31</v>
      </c>
      <c r="F121" t="s">
        <v>24</v>
      </c>
      <c r="G121" t="s">
        <v>25</v>
      </c>
      <c r="H121">
        <v>26</v>
      </c>
      <c r="I121">
        <v>2</v>
      </c>
      <c r="J121">
        <v>0</v>
      </c>
      <c r="K121">
        <v>11</v>
      </c>
      <c r="L121" t="s">
        <v>26</v>
      </c>
    </row>
    <row r="122" spans="1:12" x14ac:dyDescent="0.3">
      <c r="A122" t="s">
        <v>504</v>
      </c>
      <c r="B122" t="s">
        <v>505</v>
      </c>
      <c r="C122" t="s">
        <v>506</v>
      </c>
      <c r="D122" t="s">
        <v>30</v>
      </c>
      <c r="E122" t="s">
        <v>31</v>
      </c>
      <c r="F122" t="s">
        <v>32</v>
      </c>
      <c r="G122" t="s">
        <v>33</v>
      </c>
      <c r="H122">
        <v>-510</v>
      </c>
      <c r="I122">
        <v>1</v>
      </c>
      <c r="J122">
        <v>0</v>
      </c>
      <c r="K122">
        <v>-52</v>
      </c>
      <c r="L122" t="s">
        <v>18</v>
      </c>
    </row>
    <row r="123" spans="1:12" x14ac:dyDescent="0.3">
      <c r="A123" t="s">
        <v>507</v>
      </c>
      <c r="B123" t="s">
        <v>508</v>
      </c>
      <c r="C123" t="s">
        <v>509</v>
      </c>
      <c r="D123" t="s">
        <v>78</v>
      </c>
      <c r="E123" t="s">
        <v>31</v>
      </c>
      <c r="F123" t="s">
        <v>16</v>
      </c>
      <c r="G123" t="s">
        <v>39</v>
      </c>
      <c r="H123">
        <v>830</v>
      </c>
      <c r="I123">
        <v>1</v>
      </c>
      <c r="J123">
        <v>0.05</v>
      </c>
      <c r="K123">
        <v>108</v>
      </c>
      <c r="L123" t="s">
        <v>40</v>
      </c>
    </row>
    <row r="124" spans="1:12" x14ac:dyDescent="0.3">
      <c r="A124" t="s">
        <v>510</v>
      </c>
      <c r="B124" t="s">
        <v>511</v>
      </c>
      <c r="C124" t="s">
        <v>512</v>
      </c>
      <c r="D124" t="s">
        <v>88</v>
      </c>
      <c r="E124" t="s">
        <v>31</v>
      </c>
      <c r="F124" t="s">
        <v>45</v>
      </c>
      <c r="G124" t="s">
        <v>46</v>
      </c>
      <c r="H124">
        <v>54</v>
      </c>
      <c r="I124">
        <v>3</v>
      </c>
      <c r="J124">
        <v>0</v>
      </c>
      <c r="K124">
        <v>17</v>
      </c>
      <c r="L124" t="s">
        <v>26</v>
      </c>
    </row>
    <row r="125" spans="1:12" x14ac:dyDescent="0.3">
      <c r="A125" t="s">
        <v>513</v>
      </c>
      <c r="B125" t="s">
        <v>514</v>
      </c>
      <c r="C125" t="s">
        <v>515</v>
      </c>
      <c r="D125" t="s">
        <v>99</v>
      </c>
      <c r="E125" t="s">
        <v>31</v>
      </c>
      <c r="F125" t="s">
        <v>52</v>
      </c>
      <c r="G125" t="s">
        <v>53</v>
      </c>
      <c r="H125">
        <v>158</v>
      </c>
      <c r="I125">
        <v>4</v>
      </c>
      <c r="J125">
        <v>0.1</v>
      </c>
      <c r="K125">
        <v>23</v>
      </c>
      <c r="L125" t="s">
        <v>26</v>
      </c>
    </row>
    <row r="126" spans="1:12" x14ac:dyDescent="0.3">
      <c r="A126" t="s">
        <v>516</v>
      </c>
      <c r="B126" t="s">
        <v>517</v>
      </c>
      <c r="C126" t="s">
        <v>518</v>
      </c>
      <c r="D126" t="s">
        <v>145</v>
      </c>
      <c r="E126" t="s">
        <v>31</v>
      </c>
      <c r="F126" t="s">
        <v>16</v>
      </c>
      <c r="G126" t="s">
        <v>59</v>
      </c>
      <c r="H126">
        <v>308</v>
      </c>
      <c r="I126">
        <v>2</v>
      </c>
      <c r="J126">
        <v>0</v>
      </c>
      <c r="K126">
        <v>44</v>
      </c>
      <c r="L126" t="s">
        <v>18</v>
      </c>
    </row>
    <row r="127" spans="1:12" x14ac:dyDescent="0.3">
      <c r="A127" t="s">
        <v>519</v>
      </c>
      <c r="B127" t="s">
        <v>520</v>
      </c>
      <c r="C127" t="s">
        <v>521</v>
      </c>
      <c r="D127" t="s">
        <v>30</v>
      </c>
      <c r="E127" t="s">
        <v>31</v>
      </c>
      <c r="F127" t="s">
        <v>45</v>
      </c>
      <c r="G127" t="s">
        <v>63</v>
      </c>
      <c r="H127">
        <v>79</v>
      </c>
      <c r="I127">
        <v>1</v>
      </c>
      <c r="J127">
        <v>0.2</v>
      </c>
      <c r="K127">
        <v>17</v>
      </c>
      <c r="L127" t="s">
        <v>26</v>
      </c>
    </row>
    <row r="128" spans="1:12" x14ac:dyDescent="0.3">
      <c r="A128" t="s">
        <v>522</v>
      </c>
      <c r="B128" t="s">
        <v>523</v>
      </c>
      <c r="C128" t="s">
        <v>524</v>
      </c>
      <c r="D128" t="s">
        <v>525</v>
      </c>
      <c r="E128" t="s">
        <v>31</v>
      </c>
      <c r="F128" t="s">
        <v>32</v>
      </c>
      <c r="G128" t="s">
        <v>68</v>
      </c>
      <c r="H128">
        <v>940</v>
      </c>
      <c r="I128">
        <v>1</v>
      </c>
      <c r="J128">
        <v>0.15</v>
      </c>
      <c r="K128">
        <v>108</v>
      </c>
      <c r="L128" t="s">
        <v>18</v>
      </c>
    </row>
    <row r="129" spans="1:12" x14ac:dyDescent="0.3">
      <c r="A129" t="s">
        <v>510</v>
      </c>
      <c r="B129" t="s">
        <v>511</v>
      </c>
      <c r="C129" t="s">
        <v>512</v>
      </c>
      <c r="D129" t="s">
        <v>88</v>
      </c>
      <c r="E129" t="s">
        <v>31</v>
      </c>
      <c r="F129" t="s">
        <v>45</v>
      </c>
      <c r="G129" t="s">
        <v>46</v>
      </c>
      <c r="H129">
        <v>54</v>
      </c>
      <c r="I129">
        <v>3</v>
      </c>
      <c r="J129">
        <v>0</v>
      </c>
      <c r="K129">
        <v>17</v>
      </c>
      <c r="L129" t="s">
        <v>26</v>
      </c>
    </row>
    <row r="130" spans="1:12" x14ac:dyDescent="0.3">
      <c r="A130" t="s">
        <v>526</v>
      </c>
      <c r="B130" t="s">
        <v>527</v>
      </c>
      <c r="C130" t="s">
        <v>528</v>
      </c>
      <c r="D130" t="s">
        <v>529</v>
      </c>
      <c r="E130" t="s">
        <v>31</v>
      </c>
      <c r="F130" t="s">
        <v>16</v>
      </c>
      <c r="G130" t="s">
        <v>73</v>
      </c>
      <c r="H130">
        <v>108</v>
      </c>
      <c r="I130">
        <v>0</v>
      </c>
      <c r="J130">
        <v>0</v>
      </c>
      <c r="K130">
        <v>24</v>
      </c>
      <c r="L130" t="s">
        <v>74</v>
      </c>
    </row>
    <row r="131" spans="1:12" x14ac:dyDescent="0.3">
      <c r="A131" t="s">
        <v>530</v>
      </c>
      <c r="B131" t="s">
        <v>531</v>
      </c>
      <c r="C131" t="s">
        <v>532</v>
      </c>
      <c r="D131" t="s">
        <v>209</v>
      </c>
      <c r="E131" t="s">
        <v>31</v>
      </c>
      <c r="F131" t="s">
        <v>45</v>
      </c>
      <c r="G131" t="s">
        <v>79</v>
      </c>
      <c r="H131">
        <v>128</v>
      </c>
      <c r="I131">
        <v>-1</v>
      </c>
      <c r="J131">
        <v>0</v>
      </c>
      <c r="K131">
        <v>34</v>
      </c>
      <c r="L131" t="s">
        <v>18</v>
      </c>
    </row>
    <row r="132" spans="1:12" x14ac:dyDescent="0.3">
      <c r="A132" t="s">
        <v>533</v>
      </c>
      <c r="B132" t="s">
        <v>534</v>
      </c>
      <c r="C132" t="s">
        <v>535</v>
      </c>
      <c r="D132" t="s">
        <v>536</v>
      </c>
      <c r="E132" t="s">
        <v>31</v>
      </c>
      <c r="F132" t="s">
        <v>32</v>
      </c>
      <c r="G132" t="s">
        <v>84</v>
      </c>
      <c r="H132">
        <v>358</v>
      </c>
      <c r="I132">
        <v>1</v>
      </c>
      <c r="J132">
        <v>0.1</v>
      </c>
      <c r="K132">
        <v>44</v>
      </c>
      <c r="L132" t="s">
        <v>26</v>
      </c>
    </row>
    <row r="133" spans="1:12" x14ac:dyDescent="0.3">
      <c r="A133" t="s">
        <v>537</v>
      </c>
      <c r="B133" t="s">
        <v>538</v>
      </c>
      <c r="C133" t="s">
        <v>539</v>
      </c>
      <c r="D133" t="s">
        <v>540</v>
      </c>
      <c r="E133" t="s">
        <v>31</v>
      </c>
      <c r="F133" t="s">
        <v>16</v>
      </c>
      <c r="G133" t="s">
        <v>89</v>
      </c>
      <c r="H133">
        <v>258</v>
      </c>
      <c r="I133">
        <v>2</v>
      </c>
      <c r="J133">
        <v>0.05</v>
      </c>
      <c r="K133">
        <v>34</v>
      </c>
      <c r="L133" t="s">
        <v>18</v>
      </c>
    </row>
    <row r="134" spans="1:12" x14ac:dyDescent="0.3">
      <c r="A134" t="s">
        <v>541</v>
      </c>
      <c r="B134" t="s">
        <v>542</v>
      </c>
      <c r="C134" t="s">
        <v>543</v>
      </c>
      <c r="D134" t="s">
        <v>217</v>
      </c>
      <c r="E134" t="s">
        <v>31</v>
      </c>
      <c r="F134" t="s">
        <v>45</v>
      </c>
      <c r="G134" t="s">
        <v>95</v>
      </c>
      <c r="H134">
        <v>158</v>
      </c>
      <c r="I134">
        <v>1</v>
      </c>
      <c r="J134">
        <v>0</v>
      </c>
      <c r="K134">
        <v>29</v>
      </c>
      <c r="L134" t="s">
        <v>26</v>
      </c>
    </row>
    <row r="135" spans="1:12" x14ac:dyDescent="0.3">
      <c r="A135" t="s">
        <v>544</v>
      </c>
      <c r="B135" t="s">
        <v>545</v>
      </c>
      <c r="C135" t="s">
        <v>546</v>
      </c>
      <c r="D135" t="s">
        <v>213</v>
      </c>
      <c r="E135" t="s">
        <v>31</v>
      </c>
      <c r="F135" t="s">
        <v>32</v>
      </c>
      <c r="G135" t="s">
        <v>100</v>
      </c>
      <c r="H135">
        <v>208</v>
      </c>
      <c r="I135">
        <v>1</v>
      </c>
      <c r="J135">
        <v>0.1</v>
      </c>
      <c r="K135">
        <v>24</v>
      </c>
      <c r="L135" t="s">
        <v>18</v>
      </c>
    </row>
    <row r="136" spans="1:12" x14ac:dyDescent="0.3">
      <c r="A136" t="s">
        <v>547</v>
      </c>
      <c r="B136" t="s">
        <v>548</v>
      </c>
      <c r="C136" t="s">
        <v>549</v>
      </c>
      <c r="D136" t="s">
        <v>550</v>
      </c>
      <c r="E136" t="s">
        <v>31</v>
      </c>
      <c r="F136" t="s">
        <v>16</v>
      </c>
      <c r="G136" t="s">
        <v>106</v>
      </c>
      <c r="H136">
        <v>208</v>
      </c>
      <c r="I136">
        <v>1</v>
      </c>
      <c r="J136">
        <v>0</v>
      </c>
      <c r="K136">
        <v>44</v>
      </c>
      <c r="L136" t="s">
        <v>26</v>
      </c>
    </row>
    <row r="137" spans="1:12" x14ac:dyDescent="0.3">
      <c r="A137" t="s">
        <v>551</v>
      </c>
      <c r="B137" t="s">
        <v>552</v>
      </c>
      <c r="C137" t="s">
        <v>553</v>
      </c>
      <c r="D137" t="s">
        <v>229</v>
      </c>
      <c r="E137" t="s">
        <v>31</v>
      </c>
      <c r="F137" t="s">
        <v>45</v>
      </c>
      <c r="G137" t="s">
        <v>112</v>
      </c>
      <c r="H137">
        <v>64</v>
      </c>
      <c r="I137">
        <v>2</v>
      </c>
      <c r="J137">
        <v>0.1</v>
      </c>
      <c r="K137">
        <v>13</v>
      </c>
      <c r="L137" t="s">
        <v>18</v>
      </c>
    </row>
    <row r="138" spans="1:12" x14ac:dyDescent="0.3">
      <c r="A138" t="s">
        <v>554</v>
      </c>
      <c r="B138" t="s">
        <v>555</v>
      </c>
      <c r="C138" t="s">
        <v>556</v>
      </c>
      <c r="D138" t="s">
        <v>30</v>
      </c>
      <c r="E138" t="s">
        <v>31</v>
      </c>
      <c r="F138" t="s">
        <v>32</v>
      </c>
      <c r="G138" t="s">
        <v>117</v>
      </c>
      <c r="H138">
        <v>1040</v>
      </c>
      <c r="I138">
        <v>1</v>
      </c>
      <c r="J138">
        <v>0.2</v>
      </c>
      <c r="K138">
        <v>158</v>
      </c>
      <c r="L138" t="s">
        <v>26</v>
      </c>
    </row>
    <row r="139" spans="1:12" x14ac:dyDescent="0.3">
      <c r="A139" t="s">
        <v>557</v>
      </c>
      <c r="B139" t="s">
        <v>558</v>
      </c>
      <c r="C139" t="s">
        <v>559</v>
      </c>
      <c r="D139" t="s">
        <v>233</v>
      </c>
      <c r="E139" t="s">
        <v>31</v>
      </c>
      <c r="F139" t="s">
        <v>16</v>
      </c>
      <c r="G139" t="s">
        <v>123</v>
      </c>
      <c r="H139">
        <v>640</v>
      </c>
      <c r="I139">
        <v>1</v>
      </c>
      <c r="J139">
        <v>0</v>
      </c>
      <c r="K139">
        <v>88</v>
      </c>
      <c r="L139" t="s">
        <v>40</v>
      </c>
    </row>
    <row r="140" spans="1:12" x14ac:dyDescent="0.3">
      <c r="A140" t="s">
        <v>560</v>
      </c>
      <c r="B140" t="s">
        <v>561</v>
      </c>
      <c r="C140" t="s">
        <v>562</v>
      </c>
      <c r="D140" t="s">
        <v>237</v>
      </c>
      <c r="E140" t="s">
        <v>31</v>
      </c>
      <c r="F140" t="s">
        <v>45</v>
      </c>
      <c r="G140" t="s">
        <v>129</v>
      </c>
      <c r="H140">
        <v>34</v>
      </c>
      <c r="I140">
        <v>3</v>
      </c>
      <c r="J140">
        <v>0</v>
      </c>
      <c r="K140">
        <v>7</v>
      </c>
      <c r="L140" t="s">
        <v>26</v>
      </c>
    </row>
    <row r="141" spans="1:12" x14ac:dyDescent="0.3">
      <c r="A141" t="s">
        <v>563</v>
      </c>
      <c r="B141" t="s">
        <v>564</v>
      </c>
      <c r="C141" t="s">
        <v>565</v>
      </c>
      <c r="D141" t="s">
        <v>225</v>
      </c>
      <c r="E141" t="s">
        <v>31</v>
      </c>
      <c r="F141" t="s">
        <v>32</v>
      </c>
      <c r="G141" t="s">
        <v>135</v>
      </c>
      <c r="H141">
        <v>-340</v>
      </c>
      <c r="I141">
        <v>1</v>
      </c>
      <c r="J141">
        <v>0</v>
      </c>
      <c r="K141">
        <v>-24</v>
      </c>
      <c r="L141" t="s">
        <v>18</v>
      </c>
    </row>
    <row r="142" spans="1:12" x14ac:dyDescent="0.3">
      <c r="A142" t="s">
        <v>566</v>
      </c>
      <c r="B142" t="s">
        <v>567</v>
      </c>
      <c r="C142" t="s">
        <v>568</v>
      </c>
      <c r="D142" t="s">
        <v>241</v>
      </c>
      <c r="E142" t="s">
        <v>31</v>
      </c>
      <c r="F142" t="s">
        <v>16</v>
      </c>
      <c r="G142" t="s">
        <v>141</v>
      </c>
      <c r="H142">
        <v>84</v>
      </c>
      <c r="I142">
        <v>2</v>
      </c>
      <c r="J142">
        <v>0.1</v>
      </c>
      <c r="K142">
        <v>17</v>
      </c>
      <c r="L142" t="s">
        <v>26</v>
      </c>
    </row>
    <row r="143" spans="1:12" x14ac:dyDescent="0.3">
      <c r="A143" t="s">
        <v>569</v>
      </c>
      <c r="B143" t="s">
        <v>570</v>
      </c>
      <c r="C143" t="s">
        <v>571</v>
      </c>
      <c r="D143" t="s">
        <v>572</v>
      </c>
      <c r="E143" t="s">
        <v>31</v>
      </c>
      <c r="F143" t="s">
        <v>45</v>
      </c>
      <c r="G143" t="s">
        <v>146</v>
      </c>
      <c r="H143">
        <v>17</v>
      </c>
      <c r="I143">
        <v>5</v>
      </c>
      <c r="J143">
        <v>0</v>
      </c>
      <c r="K143">
        <v>7</v>
      </c>
      <c r="L143" t="s">
        <v>18</v>
      </c>
    </row>
    <row r="144" spans="1:12" x14ac:dyDescent="0.3">
      <c r="A144" t="s">
        <v>573</v>
      </c>
      <c r="B144" t="s">
        <v>574</v>
      </c>
      <c r="C144" t="s">
        <v>575</v>
      </c>
      <c r="D144" t="s">
        <v>221</v>
      </c>
      <c r="E144" t="s">
        <v>31</v>
      </c>
      <c r="F144" t="s">
        <v>32</v>
      </c>
      <c r="G144" t="s">
        <v>152</v>
      </c>
      <c r="H144">
        <v>44</v>
      </c>
      <c r="I144">
        <v>4</v>
      </c>
      <c r="J144">
        <v>0</v>
      </c>
      <c r="K144">
        <v>13</v>
      </c>
      <c r="L144" t="s">
        <v>26</v>
      </c>
    </row>
    <row r="145" spans="1:12" x14ac:dyDescent="0.3">
      <c r="A145" t="s">
        <v>576</v>
      </c>
      <c r="B145" t="s">
        <v>577</v>
      </c>
      <c r="C145" t="s">
        <v>578</v>
      </c>
      <c r="D145" t="s">
        <v>579</v>
      </c>
      <c r="E145" t="s">
        <v>31</v>
      </c>
      <c r="F145" t="s">
        <v>16</v>
      </c>
      <c r="G145" t="s">
        <v>158</v>
      </c>
      <c r="H145">
        <v>54</v>
      </c>
      <c r="I145">
        <v>2</v>
      </c>
      <c r="J145">
        <v>0</v>
      </c>
      <c r="K145">
        <v>13</v>
      </c>
      <c r="L145" t="s">
        <v>18</v>
      </c>
    </row>
    <row r="146" spans="1:12" x14ac:dyDescent="0.3">
      <c r="A146" t="s">
        <v>580</v>
      </c>
      <c r="B146" t="s">
        <v>581</v>
      </c>
      <c r="C146" t="s">
        <v>582</v>
      </c>
      <c r="D146" t="s">
        <v>30</v>
      </c>
      <c r="E146" t="s">
        <v>31</v>
      </c>
      <c r="F146" t="s">
        <v>45</v>
      </c>
      <c r="G146" t="s">
        <v>163</v>
      </c>
      <c r="H146">
        <v>24</v>
      </c>
      <c r="I146">
        <v>1</v>
      </c>
      <c r="J146">
        <v>0</v>
      </c>
      <c r="K146">
        <v>7</v>
      </c>
      <c r="L146" t="s">
        <v>26</v>
      </c>
    </row>
    <row r="147" spans="1:12" x14ac:dyDescent="0.3">
      <c r="A147" t="s">
        <v>583</v>
      </c>
      <c r="B147" t="s">
        <v>584</v>
      </c>
      <c r="C147" t="s">
        <v>585</v>
      </c>
      <c r="D147" t="s">
        <v>586</v>
      </c>
      <c r="E147" t="s">
        <v>31</v>
      </c>
      <c r="F147" t="s">
        <v>32</v>
      </c>
      <c r="G147" t="s">
        <v>168</v>
      </c>
      <c r="H147">
        <v>64</v>
      </c>
      <c r="I147">
        <v>2</v>
      </c>
      <c r="J147">
        <v>0.1</v>
      </c>
      <c r="K147">
        <v>13</v>
      </c>
      <c r="L147" t="s">
        <v>18</v>
      </c>
    </row>
    <row r="148" spans="1:12" x14ac:dyDescent="0.3">
      <c r="A148" t="s">
        <v>587</v>
      </c>
      <c r="B148" t="s">
        <v>588</v>
      </c>
      <c r="C148" t="s">
        <v>589</v>
      </c>
      <c r="D148" t="s">
        <v>590</v>
      </c>
      <c r="E148" t="s">
        <v>31</v>
      </c>
      <c r="F148" t="s">
        <v>16</v>
      </c>
      <c r="G148" t="s">
        <v>174</v>
      </c>
      <c r="H148">
        <v>29</v>
      </c>
      <c r="I148">
        <v>3</v>
      </c>
      <c r="J148">
        <v>0</v>
      </c>
      <c r="K148">
        <v>7</v>
      </c>
      <c r="L148" t="s">
        <v>74</v>
      </c>
    </row>
    <row r="149" spans="1:12" x14ac:dyDescent="0.3">
      <c r="A149" t="s">
        <v>591</v>
      </c>
      <c r="B149" t="s">
        <v>592</v>
      </c>
      <c r="C149" t="s">
        <v>593</v>
      </c>
      <c r="D149" t="s">
        <v>57</v>
      </c>
      <c r="E149" t="s">
        <v>58</v>
      </c>
      <c r="F149" t="s">
        <v>16</v>
      </c>
      <c r="G149" t="s">
        <v>17</v>
      </c>
      <c r="H149">
        <v>1210</v>
      </c>
      <c r="I149">
        <v>1</v>
      </c>
      <c r="J149">
        <v>0.1</v>
      </c>
      <c r="K149">
        <v>152</v>
      </c>
      <c r="L149" t="s">
        <v>18</v>
      </c>
    </row>
    <row r="150" spans="1:12" x14ac:dyDescent="0.3">
      <c r="A150" t="s">
        <v>594</v>
      </c>
      <c r="B150" t="s">
        <v>595</v>
      </c>
      <c r="C150" t="s">
        <v>596</v>
      </c>
      <c r="D150" t="s">
        <v>597</v>
      </c>
      <c r="E150" t="s">
        <v>58</v>
      </c>
      <c r="F150" t="s">
        <v>24</v>
      </c>
      <c r="G150" t="s">
        <v>25</v>
      </c>
      <c r="H150">
        <v>27</v>
      </c>
      <c r="I150">
        <v>2</v>
      </c>
      <c r="J150">
        <v>0</v>
      </c>
      <c r="K150">
        <v>12</v>
      </c>
      <c r="L150" t="s">
        <v>26</v>
      </c>
    </row>
    <row r="151" spans="1:12" x14ac:dyDescent="0.3">
      <c r="A151" t="s">
        <v>598</v>
      </c>
      <c r="B151" t="s">
        <v>599</v>
      </c>
      <c r="C151" t="s">
        <v>600</v>
      </c>
      <c r="D151" t="s">
        <v>30</v>
      </c>
      <c r="E151" t="s">
        <v>58</v>
      </c>
      <c r="F151" t="s">
        <v>32</v>
      </c>
      <c r="G151" t="s">
        <v>33</v>
      </c>
      <c r="H151">
        <v>-520</v>
      </c>
      <c r="I151">
        <v>1</v>
      </c>
      <c r="J151">
        <v>0</v>
      </c>
      <c r="K151">
        <v>-54</v>
      </c>
      <c r="L151" t="s">
        <v>18</v>
      </c>
    </row>
    <row r="152" spans="1:12" x14ac:dyDescent="0.3">
      <c r="A152" t="s">
        <v>601</v>
      </c>
      <c r="B152" t="s">
        <v>602</v>
      </c>
      <c r="C152" t="s">
        <v>603</v>
      </c>
      <c r="D152" t="s">
        <v>604</v>
      </c>
      <c r="E152" t="s">
        <v>58</v>
      </c>
      <c r="F152" t="s">
        <v>16</v>
      </c>
      <c r="G152" t="s">
        <v>39</v>
      </c>
      <c r="H152">
        <v>840</v>
      </c>
      <c r="I152">
        <v>1</v>
      </c>
      <c r="J152">
        <v>0.05</v>
      </c>
      <c r="K152">
        <v>112</v>
      </c>
      <c r="L152" t="s">
        <v>40</v>
      </c>
    </row>
    <row r="153" spans="1:12" x14ac:dyDescent="0.3">
      <c r="A153" t="s">
        <v>605</v>
      </c>
      <c r="B153" t="s">
        <v>606</v>
      </c>
      <c r="C153" t="s">
        <v>607</v>
      </c>
      <c r="D153" t="s">
        <v>608</v>
      </c>
      <c r="E153" t="s">
        <v>58</v>
      </c>
      <c r="F153" t="s">
        <v>45</v>
      </c>
      <c r="G153" t="s">
        <v>46</v>
      </c>
      <c r="H153">
        <v>56</v>
      </c>
      <c r="I153">
        <v>3</v>
      </c>
      <c r="J153">
        <v>0</v>
      </c>
      <c r="K153">
        <v>19</v>
      </c>
      <c r="L153" t="s">
        <v>26</v>
      </c>
    </row>
    <row r="154" spans="1:12" x14ac:dyDescent="0.3">
      <c r="A154" t="s">
        <v>609</v>
      </c>
      <c r="B154" t="s">
        <v>610</v>
      </c>
      <c r="C154" t="s">
        <v>611</v>
      </c>
      <c r="D154" t="s">
        <v>612</v>
      </c>
      <c r="E154" t="s">
        <v>58</v>
      </c>
      <c r="F154" t="s">
        <v>52</v>
      </c>
      <c r="G154" t="s">
        <v>53</v>
      </c>
      <c r="H154">
        <v>162</v>
      </c>
      <c r="I154">
        <v>4</v>
      </c>
      <c r="J154">
        <v>0.1</v>
      </c>
      <c r="K154">
        <v>24</v>
      </c>
      <c r="L154" t="s">
        <v>26</v>
      </c>
    </row>
    <row r="155" spans="1:12" x14ac:dyDescent="0.3">
      <c r="A155" t="s">
        <v>613</v>
      </c>
      <c r="B155" t="s">
        <v>614</v>
      </c>
      <c r="C155" t="s">
        <v>615</v>
      </c>
      <c r="D155" t="s">
        <v>616</v>
      </c>
      <c r="E155" t="s">
        <v>58</v>
      </c>
      <c r="F155" t="s">
        <v>16</v>
      </c>
      <c r="G155" t="s">
        <v>59</v>
      </c>
      <c r="H155">
        <v>312</v>
      </c>
      <c r="I155">
        <v>2</v>
      </c>
      <c r="J155">
        <v>0</v>
      </c>
      <c r="K155">
        <v>46</v>
      </c>
      <c r="L155" t="s">
        <v>18</v>
      </c>
    </row>
    <row r="156" spans="1:12" x14ac:dyDescent="0.3">
      <c r="A156" t="s">
        <v>617</v>
      </c>
      <c r="B156" t="s">
        <v>618</v>
      </c>
      <c r="C156" t="s">
        <v>619</v>
      </c>
      <c r="D156" t="s">
        <v>30</v>
      </c>
      <c r="E156" t="s">
        <v>58</v>
      </c>
      <c r="F156" t="s">
        <v>45</v>
      </c>
      <c r="G156" t="s">
        <v>63</v>
      </c>
      <c r="H156">
        <v>82</v>
      </c>
      <c r="I156">
        <v>1</v>
      </c>
      <c r="J156">
        <v>0.2</v>
      </c>
      <c r="K156">
        <v>19</v>
      </c>
      <c r="L156" t="s">
        <v>26</v>
      </c>
    </row>
    <row r="157" spans="1:12" x14ac:dyDescent="0.3">
      <c r="A157" t="s">
        <v>620</v>
      </c>
      <c r="B157" t="s">
        <v>621</v>
      </c>
      <c r="C157" t="s">
        <v>622</v>
      </c>
      <c r="D157" t="s">
        <v>623</v>
      </c>
      <c r="E157" t="s">
        <v>58</v>
      </c>
      <c r="F157" t="s">
        <v>32</v>
      </c>
      <c r="G157" t="s">
        <v>68</v>
      </c>
      <c r="H157">
        <v>960</v>
      </c>
      <c r="I157">
        <v>1</v>
      </c>
      <c r="J157">
        <v>0.15</v>
      </c>
      <c r="K157">
        <v>112</v>
      </c>
      <c r="L157" t="s">
        <v>18</v>
      </c>
    </row>
    <row r="158" spans="1:12" x14ac:dyDescent="0.3">
      <c r="A158" t="s">
        <v>624</v>
      </c>
      <c r="B158" t="s">
        <v>625</v>
      </c>
      <c r="C158" t="s">
        <v>626</v>
      </c>
      <c r="D158" t="s">
        <v>627</v>
      </c>
      <c r="E158" t="s">
        <v>58</v>
      </c>
      <c r="F158" t="s">
        <v>16</v>
      </c>
      <c r="G158" t="s">
        <v>73</v>
      </c>
      <c r="H158">
        <v>112</v>
      </c>
      <c r="I158">
        <v>0</v>
      </c>
      <c r="J158">
        <v>0</v>
      </c>
      <c r="K158">
        <v>26</v>
      </c>
      <c r="L158" t="s">
        <v>74</v>
      </c>
    </row>
    <row r="159" spans="1:12" x14ac:dyDescent="0.3">
      <c r="A159" t="s">
        <v>601</v>
      </c>
      <c r="B159" t="s">
        <v>602</v>
      </c>
      <c r="C159" t="s">
        <v>603</v>
      </c>
      <c r="D159" t="s">
        <v>604</v>
      </c>
      <c r="E159" t="s">
        <v>58</v>
      </c>
      <c r="F159" t="s">
        <v>16</v>
      </c>
      <c r="G159" t="s">
        <v>39</v>
      </c>
      <c r="H159">
        <v>840</v>
      </c>
      <c r="I159">
        <v>1</v>
      </c>
      <c r="J159">
        <v>0.05</v>
      </c>
      <c r="K159">
        <v>112</v>
      </c>
      <c r="L159" t="s">
        <v>40</v>
      </c>
    </row>
    <row r="160" spans="1:12" x14ac:dyDescent="0.3">
      <c r="A160" t="s">
        <v>628</v>
      </c>
      <c r="B160" t="s">
        <v>629</v>
      </c>
      <c r="C160" t="s">
        <v>171</v>
      </c>
      <c r="D160" t="s">
        <v>630</v>
      </c>
      <c r="E160" t="s">
        <v>58</v>
      </c>
      <c r="F160" t="s">
        <v>45</v>
      </c>
      <c r="G160" t="s">
        <v>79</v>
      </c>
      <c r="H160">
        <v>132</v>
      </c>
      <c r="I160">
        <v>-1</v>
      </c>
      <c r="J160">
        <v>0</v>
      </c>
      <c r="K160">
        <v>36</v>
      </c>
      <c r="L160" t="s">
        <v>18</v>
      </c>
    </row>
    <row r="161" spans="1:12" x14ac:dyDescent="0.3">
      <c r="A161" t="s">
        <v>631</v>
      </c>
      <c r="B161" t="s">
        <v>632</v>
      </c>
      <c r="C161" t="s">
        <v>633</v>
      </c>
      <c r="D161" t="s">
        <v>634</v>
      </c>
      <c r="E161" t="s">
        <v>58</v>
      </c>
      <c r="F161" t="s">
        <v>32</v>
      </c>
      <c r="G161" t="s">
        <v>84</v>
      </c>
      <c r="H161">
        <v>362</v>
      </c>
      <c r="I161">
        <v>1</v>
      </c>
      <c r="J161">
        <v>0.1</v>
      </c>
      <c r="K161">
        <v>46</v>
      </c>
      <c r="L161" t="s">
        <v>26</v>
      </c>
    </row>
    <row r="162" spans="1:12" x14ac:dyDescent="0.3">
      <c r="A162" t="s">
        <v>635</v>
      </c>
      <c r="B162" t="s">
        <v>636</v>
      </c>
      <c r="C162" t="s">
        <v>637</v>
      </c>
      <c r="D162" t="s">
        <v>638</v>
      </c>
      <c r="E162" t="s">
        <v>58</v>
      </c>
      <c r="F162" t="s">
        <v>16</v>
      </c>
      <c r="G162" t="s">
        <v>89</v>
      </c>
      <c r="H162">
        <v>262</v>
      </c>
      <c r="I162">
        <v>2</v>
      </c>
      <c r="J162">
        <v>0.05</v>
      </c>
      <c r="K162">
        <v>36</v>
      </c>
      <c r="L162" t="s">
        <v>18</v>
      </c>
    </row>
    <row r="163" spans="1:12" x14ac:dyDescent="0.3">
      <c r="A163" t="s">
        <v>639</v>
      </c>
      <c r="B163" t="s">
        <v>640</v>
      </c>
      <c r="C163" t="s">
        <v>641</v>
      </c>
      <c r="D163" t="s">
        <v>642</v>
      </c>
      <c r="E163" t="s">
        <v>58</v>
      </c>
      <c r="F163" t="s">
        <v>45</v>
      </c>
      <c r="G163" t="s">
        <v>95</v>
      </c>
      <c r="H163">
        <v>162</v>
      </c>
      <c r="I163">
        <v>1</v>
      </c>
      <c r="J163">
        <v>0</v>
      </c>
      <c r="K163">
        <v>31</v>
      </c>
      <c r="L163" t="s">
        <v>26</v>
      </c>
    </row>
    <row r="164" spans="1:12" x14ac:dyDescent="0.3">
      <c r="A164" t="s">
        <v>643</v>
      </c>
      <c r="B164" t="s">
        <v>644</v>
      </c>
      <c r="C164" t="s">
        <v>645</v>
      </c>
      <c r="D164" t="s">
        <v>646</v>
      </c>
      <c r="E164" t="s">
        <v>58</v>
      </c>
      <c r="F164" t="s">
        <v>32</v>
      </c>
      <c r="G164" t="s">
        <v>100</v>
      </c>
      <c r="H164">
        <v>212</v>
      </c>
      <c r="I164">
        <v>1</v>
      </c>
      <c r="J164">
        <v>0.1</v>
      </c>
      <c r="K164">
        <v>26</v>
      </c>
      <c r="L164" t="s">
        <v>18</v>
      </c>
    </row>
    <row r="165" spans="1:12" x14ac:dyDescent="0.3">
      <c r="A165" t="s">
        <v>647</v>
      </c>
      <c r="B165" t="s">
        <v>648</v>
      </c>
      <c r="C165" t="s">
        <v>649</v>
      </c>
      <c r="D165" t="s">
        <v>650</v>
      </c>
      <c r="E165" t="s">
        <v>58</v>
      </c>
      <c r="F165" t="s">
        <v>16</v>
      </c>
      <c r="G165" t="s">
        <v>106</v>
      </c>
      <c r="H165">
        <v>212</v>
      </c>
      <c r="I165">
        <v>1</v>
      </c>
      <c r="J165">
        <v>0</v>
      </c>
      <c r="K165">
        <v>46</v>
      </c>
      <c r="L165" t="s">
        <v>26</v>
      </c>
    </row>
    <row r="166" spans="1:12" x14ac:dyDescent="0.3">
      <c r="A166" t="s">
        <v>651</v>
      </c>
      <c r="B166" t="s">
        <v>652</v>
      </c>
      <c r="C166" t="s">
        <v>653</v>
      </c>
      <c r="D166" t="s">
        <v>654</v>
      </c>
      <c r="E166" t="s">
        <v>58</v>
      </c>
      <c r="F166" t="s">
        <v>45</v>
      </c>
      <c r="G166" t="s">
        <v>112</v>
      </c>
      <c r="H166">
        <v>66</v>
      </c>
      <c r="I166">
        <v>2</v>
      </c>
      <c r="J166">
        <v>0.1</v>
      </c>
      <c r="K166">
        <v>14</v>
      </c>
      <c r="L166" t="s">
        <v>18</v>
      </c>
    </row>
    <row r="167" spans="1:12" x14ac:dyDescent="0.3">
      <c r="A167" t="s">
        <v>655</v>
      </c>
      <c r="B167" t="s">
        <v>656</v>
      </c>
      <c r="C167" t="s">
        <v>657</v>
      </c>
      <c r="D167" t="s">
        <v>30</v>
      </c>
      <c r="E167" t="s">
        <v>58</v>
      </c>
      <c r="F167" t="s">
        <v>32</v>
      </c>
      <c r="G167" t="s">
        <v>117</v>
      </c>
      <c r="H167">
        <v>1060</v>
      </c>
      <c r="I167">
        <v>1</v>
      </c>
      <c r="J167">
        <v>0.2</v>
      </c>
      <c r="K167">
        <v>162</v>
      </c>
      <c r="L167" t="s">
        <v>26</v>
      </c>
    </row>
    <row r="168" spans="1:12" x14ac:dyDescent="0.3">
      <c r="A168" t="s">
        <v>658</v>
      </c>
      <c r="B168" t="s">
        <v>659</v>
      </c>
      <c r="C168" t="s">
        <v>660</v>
      </c>
      <c r="D168" t="s">
        <v>661</v>
      </c>
      <c r="E168" t="s">
        <v>58</v>
      </c>
      <c r="F168" t="s">
        <v>16</v>
      </c>
      <c r="G168" t="s">
        <v>123</v>
      </c>
      <c r="H168">
        <v>660</v>
      </c>
      <c r="I168">
        <v>1</v>
      </c>
      <c r="J168">
        <v>0</v>
      </c>
      <c r="K168">
        <v>92</v>
      </c>
      <c r="L168" t="s">
        <v>40</v>
      </c>
    </row>
    <row r="169" spans="1:12" x14ac:dyDescent="0.3">
      <c r="A169" t="s">
        <v>662</v>
      </c>
      <c r="B169" t="s">
        <v>663</v>
      </c>
      <c r="C169" t="s">
        <v>664</v>
      </c>
      <c r="D169" t="s">
        <v>665</v>
      </c>
      <c r="E169" t="s">
        <v>58</v>
      </c>
      <c r="F169" t="s">
        <v>45</v>
      </c>
      <c r="G169" t="s">
        <v>129</v>
      </c>
      <c r="H169">
        <v>36</v>
      </c>
      <c r="I169">
        <v>3</v>
      </c>
      <c r="J169">
        <v>0</v>
      </c>
      <c r="K169">
        <v>8</v>
      </c>
      <c r="L169" t="s">
        <v>26</v>
      </c>
    </row>
    <row r="170" spans="1:12" x14ac:dyDescent="0.3">
      <c r="A170" t="s">
        <v>666</v>
      </c>
      <c r="B170" t="s">
        <v>667</v>
      </c>
      <c r="C170" t="s">
        <v>668</v>
      </c>
      <c r="D170" t="s">
        <v>669</v>
      </c>
      <c r="E170" t="s">
        <v>58</v>
      </c>
      <c r="F170" t="s">
        <v>32</v>
      </c>
      <c r="G170" t="s">
        <v>135</v>
      </c>
      <c r="H170">
        <v>-360</v>
      </c>
      <c r="I170">
        <v>1</v>
      </c>
      <c r="J170">
        <v>0</v>
      </c>
      <c r="K170">
        <v>-26</v>
      </c>
      <c r="L170" t="s">
        <v>18</v>
      </c>
    </row>
    <row r="171" spans="1:12" x14ac:dyDescent="0.3">
      <c r="A171" t="s">
        <v>670</v>
      </c>
      <c r="B171" t="s">
        <v>671</v>
      </c>
      <c r="C171" t="s">
        <v>672</v>
      </c>
      <c r="D171" t="s">
        <v>673</v>
      </c>
      <c r="E171" t="s">
        <v>58</v>
      </c>
      <c r="F171" t="s">
        <v>16</v>
      </c>
      <c r="G171" t="s">
        <v>141</v>
      </c>
      <c r="H171">
        <v>86</v>
      </c>
      <c r="I171">
        <v>2</v>
      </c>
      <c r="J171">
        <v>0.1</v>
      </c>
      <c r="K171">
        <v>19</v>
      </c>
      <c r="L171" t="s">
        <v>26</v>
      </c>
    </row>
    <row r="172" spans="1:12" x14ac:dyDescent="0.3">
      <c r="A172" t="s">
        <v>674</v>
      </c>
      <c r="B172" t="s">
        <v>675</v>
      </c>
      <c r="C172" t="s">
        <v>676</v>
      </c>
      <c r="D172" t="s">
        <v>677</v>
      </c>
      <c r="E172" t="s">
        <v>58</v>
      </c>
      <c r="F172" t="s">
        <v>45</v>
      </c>
      <c r="G172" t="s">
        <v>146</v>
      </c>
      <c r="H172">
        <v>19</v>
      </c>
      <c r="I172">
        <v>5</v>
      </c>
      <c r="J172">
        <v>0</v>
      </c>
      <c r="K172">
        <v>8</v>
      </c>
      <c r="L172" t="s">
        <v>18</v>
      </c>
    </row>
    <row r="173" spans="1:12" x14ac:dyDescent="0.3">
      <c r="A173" t="s">
        <v>678</v>
      </c>
      <c r="B173" t="s">
        <v>679</v>
      </c>
      <c r="C173" t="s">
        <v>680</v>
      </c>
      <c r="D173" t="s">
        <v>681</v>
      </c>
      <c r="E173" t="s">
        <v>58</v>
      </c>
      <c r="F173" t="s">
        <v>32</v>
      </c>
      <c r="G173" t="s">
        <v>152</v>
      </c>
      <c r="H173">
        <v>46</v>
      </c>
      <c r="I173">
        <v>4</v>
      </c>
      <c r="J173">
        <v>0</v>
      </c>
      <c r="K173">
        <v>14</v>
      </c>
      <c r="L173" t="s">
        <v>26</v>
      </c>
    </row>
    <row r="174" spans="1:12" x14ac:dyDescent="0.3">
      <c r="A174" t="s">
        <v>682</v>
      </c>
      <c r="B174" t="s">
        <v>683</v>
      </c>
      <c r="C174" t="s">
        <v>585</v>
      </c>
      <c r="D174" t="s">
        <v>684</v>
      </c>
      <c r="E174" t="s">
        <v>58</v>
      </c>
      <c r="F174" t="s">
        <v>16</v>
      </c>
      <c r="G174" t="s">
        <v>158</v>
      </c>
      <c r="H174">
        <v>56</v>
      </c>
      <c r="I174">
        <v>2</v>
      </c>
      <c r="J174">
        <v>0</v>
      </c>
      <c r="K174">
        <v>14</v>
      </c>
      <c r="L174" t="s">
        <v>18</v>
      </c>
    </row>
    <row r="175" spans="1:12" x14ac:dyDescent="0.3">
      <c r="A175" t="s">
        <v>685</v>
      </c>
      <c r="B175" t="s">
        <v>686</v>
      </c>
      <c r="C175" t="s">
        <v>687</v>
      </c>
      <c r="D175" t="s">
        <v>30</v>
      </c>
      <c r="E175" t="s">
        <v>58</v>
      </c>
      <c r="F175" t="s">
        <v>45</v>
      </c>
      <c r="G175" t="s">
        <v>163</v>
      </c>
      <c r="H175">
        <v>26</v>
      </c>
      <c r="I175">
        <v>1</v>
      </c>
      <c r="J175">
        <v>0</v>
      </c>
      <c r="K175">
        <v>8</v>
      </c>
      <c r="L175" t="s">
        <v>26</v>
      </c>
    </row>
    <row r="176" spans="1:12" x14ac:dyDescent="0.3">
      <c r="A176" t="s">
        <v>688</v>
      </c>
      <c r="B176" t="s">
        <v>689</v>
      </c>
      <c r="C176" t="s">
        <v>690</v>
      </c>
      <c r="D176" t="s">
        <v>691</v>
      </c>
      <c r="E176" t="s">
        <v>58</v>
      </c>
      <c r="F176" t="s">
        <v>32</v>
      </c>
      <c r="G176" t="s">
        <v>168</v>
      </c>
      <c r="H176">
        <v>66</v>
      </c>
      <c r="I176">
        <v>2</v>
      </c>
      <c r="J176">
        <v>0.1</v>
      </c>
      <c r="K176">
        <v>14</v>
      </c>
      <c r="L176" t="s">
        <v>18</v>
      </c>
    </row>
    <row r="177" spans="1:12" x14ac:dyDescent="0.3">
      <c r="A177" t="s">
        <v>692</v>
      </c>
      <c r="B177" t="s">
        <v>693</v>
      </c>
      <c r="C177" t="s">
        <v>694</v>
      </c>
      <c r="D177" t="s">
        <v>695</v>
      </c>
      <c r="E177" t="s">
        <v>58</v>
      </c>
      <c r="F177" t="s">
        <v>16</v>
      </c>
      <c r="G177" t="s">
        <v>174</v>
      </c>
      <c r="H177">
        <v>31</v>
      </c>
      <c r="I177">
        <v>3</v>
      </c>
      <c r="J177">
        <v>0</v>
      </c>
      <c r="K177">
        <v>8</v>
      </c>
      <c r="L177" t="s">
        <v>74</v>
      </c>
    </row>
    <row r="178" spans="1:12" x14ac:dyDescent="0.3">
      <c r="A178" t="s">
        <v>696</v>
      </c>
      <c r="B178" t="s">
        <v>697</v>
      </c>
      <c r="C178" t="s">
        <v>698</v>
      </c>
      <c r="D178" t="s">
        <v>50</v>
      </c>
      <c r="E178" t="s">
        <v>51</v>
      </c>
      <c r="F178" t="s">
        <v>16</v>
      </c>
      <c r="G178" t="s">
        <v>17</v>
      </c>
      <c r="H178">
        <v>1220</v>
      </c>
      <c r="I178">
        <v>1</v>
      </c>
      <c r="J178">
        <v>0.1</v>
      </c>
      <c r="K178">
        <v>155</v>
      </c>
      <c r="L178" t="s">
        <v>18</v>
      </c>
    </row>
    <row r="179" spans="1:12" x14ac:dyDescent="0.3">
      <c r="A179" t="s">
        <v>699</v>
      </c>
      <c r="B179" t="s">
        <v>700</v>
      </c>
      <c r="C179" t="s">
        <v>701</v>
      </c>
      <c r="D179" t="s">
        <v>702</v>
      </c>
      <c r="E179" t="s">
        <v>51</v>
      </c>
      <c r="F179" t="s">
        <v>24</v>
      </c>
      <c r="G179" t="s">
        <v>25</v>
      </c>
      <c r="H179">
        <v>28</v>
      </c>
      <c r="I179">
        <v>2</v>
      </c>
      <c r="J179">
        <v>0</v>
      </c>
      <c r="K179">
        <v>13</v>
      </c>
      <c r="L179" t="s">
        <v>26</v>
      </c>
    </row>
    <row r="180" spans="1:12" x14ac:dyDescent="0.3">
      <c r="A180" t="s">
        <v>703</v>
      </c>
      <c r="B180" t="s">
        <v>704</v>
      </c>
      <c r="C180" t="s">
        <v>705</v>
      </c>
      <c r="D180" t="s">
        <v>30</v>
      </c>
      <c r="E180" t="s">
        <v>51</v>
      </c>
      <c r="F180" t="s">
        <v>32</v>
      </c>
      <c r="G180" t="s">
        <v>33</v>
      </c>
      <c r="H180">
        <v>-530</v>
      </c>
      <c r="I180">
        <v>1</v>
      </c>
      <c r="J180">
        <v>0</v>
      </c>
      <c r="K180">
        <v>-56</v>
      </c>
      <c r="L180" t="s">
        <v>18</v>
      </c>
    </row>
    <row r="181" spans="1:12" x14ac:dyDescent="0.3">
      <c r="A181" t="s">
        <v>706</v>
      </c>
      <c r="B181" t="s">
        <v>707</v>
      </c>
      <c r="C181" t="s">
        <v>708</v>
      </c>
      <c r="D181" t="s">
        <v>709</v>
      </c>
      <c r="E181" t="s">
        <v>51</v>
      </c>
      <c r="F181" t="s">
        <v>16</v>
      </c>
      <c r="G181" t="s">
        <v>39</v>
      </c>
      <c r="H181">
        <v>860</v>
      </c>
      <c r="I181">
        <v>1</v>
      </c>
      <c r="J181">
        <v>0.05</v>
      </c>
      <c r="K181">
        <v>115</v>
      </c>
      <c r="L181" t="s">
        <v>40</v>
      </c>
    </row>
    <row r="182" spans="1:12" x14ac:dyDescent="0.3">
      <c r="A182" t="s">
        <v>710</v>
      </c>
      <c r="B182" t="s">
        <v>711</v>
      </c>
      <c r="C182" t="s">
        <v>712</v>
      </c>
      <c r="D182" t="s">
        <v>713</v>
      </c>
      <c r="E182" t="s">
        <v>51</v>
      </c>
      <c r="F182" t="s">
        <v>45</v>
      </c>
      <c r="G182" t="s">
        <v>46</v>
      </c>
      <c r="H182">
        <v>58</v>
      </c>
      <c r="I182">
        <v>3</v>
      </c>
      <c r="J182">
        <v>0</v>
      </c>
      <c r="K182">
        <v>21</v>
      </c>
      <c r="L182" t="s">
        <v>26</v>
      </c>
    </row>
    <row r="183" spans="1:12" x14ac:dyDescent="0.3">
      <c r="A183" t="s">
        <v>714</v>
      </c>
      <c r="B183" t="s">
        <v>715</v>
      </c>
      <c r="C183" t="s">
        <v>716</v>
      </c>
      <c r="D183" t="s">
        <v>385</v>
      </c>
      <c r="E183" t="s">
        <v>51</v>
      </c>
      <c r="F183" t="s">
        <v>52</v>
      </c>
      <c r="G183" t="s">
        <v>53</v>
      </c>
      <c r="H183">
        <v>165</v>
      </c>
      <c r="I183">
        <v>4</v>
      </c>
      <c r="J183">
        <v>0.1</v>
      </c>
      <c r="K183">
        <v>25</v>
      </c>
      <c r="L183" t="s">
        <v>26</v>
      </c>
    </row>
    <row r="184" spans="1:12" x14ac:dyDescent="0.3">
      <c r="A184" t="s">
        <v>717</v>
      </c>
      <c r="B184" t="s">
        <v>718</v>
      </c>
      <c r="C184" t="s">
        <v>719</v>
      </c>
      <c r="D184" t="s">
        <v>720</v>
      </c>
      <c r="E184" t="s">
        <v>51</v>
      </c>
      <c r="F184" t="s">
        <v>16</v>
      </c>
      <c r="G184" t="s">
        <v>59</v>
      </c>
      <c r="H184">
        <v>315</v>
      </c>
      <c r="I184">
        <v>2</v>
      </c>
      <c r="J184">
        <v>0</v>
      </c>
      <c r="K184">
        <v>48</v>
      </c>
      <c r="L184" t="s">
        <v>18</v>
      </c>
    </row>
    <row r="185" spans="1:12" x14ac:dyDescent="0.3">
      <c r="A185" t="s">
        <v>721</v>
      </c>
      <c r="B185" t="s">
        <v>722</v>
      </c>
      <c r="C185" t="s">
        <v>723</v>
      </c>
      <c r="D185" t="s">
        <v>30</v>
      </c>
      <c r="E185" t="s">
        <v>51</v>
      </c>
      <c r="F185" t="s">
        <v>45</v>
      </c>
      <c r="G185" t="s">
        <v>63</v>
      </c>
      <c r="H185">
        <v>85</v>
      </c>
      <c r="I185">
        <v>1</v>
      </c>
      <c r="J185">
        <v>0.2</v>
      </c>
      <c r="K185">
        <v>21</v>
      </c>
      <c r="L185" t="s">
        <v>26</v>
      </c>
    </row>
    <row r="186" spans="1:12" x14ac:dyDescent="0.3">
      <c r="A186" t="s">
        <v>724</v>
      </c>
      <c r="B186" t="s">
        <v>725</v>
      </c>
      <c r="C186" t="s">
        <v>726</v>
      </c>
      <c r="D186" t="s">
        <v>727</v>
      </c>
      <c r="E186" t="s">
        <v>51</v>
      </c>
      <c r="F186" t="s">
        <v>32</v>
      </c>
      <c r="G186" t="s">
        <v>68</v>
      </c>
      <c r="H186">
        <v>980</v>
      </c>
      <c r="I186">
        <v>1</v>
      </c>
      <c r="J186">
        <v>0.15</v>
      </c>
      <c r="K186">
        <v>115</v>
      </c>
      <c r="L186" t="s">
        <v>18</v>
      </c>
    </row>
    <row r="187" spans="1:12" x14ac:dyDescent="0.3">
      <c r="A187" t="s">
        <v>728</v>
      </c>
      <c r="B187" t="s">
        <v>729</v>
      </c>
      <c r="C187" t="s">
        <v>730</v>
      </c>
      <c r="D187" t="s">
        <v>731</v>
      </c>
      <c r="E187" t="s">
        <v>51</v>
      </c>
      <c r="F187" t="s">
        <v>16</v>
      </c>
      <c r="G187" t="s">
        <v>73</v>
      </c>
      <c r="H187">
        <v>115</v>
      </c>
      <c r="I187">
        <v>0</v>
      </c>
      <c r="J187">
        <v>0</v>
      </c>
      <c r="K187">
        <v>28</v>
      </c>
      <c r="L187" t="s">
        <v>74</v>
      </c>
    </row>
    <row r="188" spans="1:12" x14ac:dyDescent="0.3">
      <c r="A188" t="s">
        <v>732</v>
      </c>
      <c r="B188" t="s">
        <v>733</v>
      </c>
      <c r="C188" t="s">
        <v>734</v>
      </c>
      <c r="D188" t="s">
        <v>422</v>
      </c>
      <c r="E188" t="s">
        <v>51</v>
      </c>
      <c r="F188" t="s">
        <v>45</v>
      </c>
      <c r="G188" t="s">
        <v>79</v>
      </c>
      <c r="H188">
        <v>135</v>
      </c>
      <c r="I188">
        <v>-1</v>
      </c>
      <c r="J188">
        <v>0</v>
      </c>
      <c r="K188">
        <v>38</v>
      </c>
      <c r="L188" t="s">
        <v>18</v>
      </c>
    </row>
    <row r="189" spans="1:12" x14ac:dyDescent="0.3">
      <c r="A189" t="s">
        <v>735</v>
      </c>
      <c r="B189" t="s">
        <v>736</v>
      </c>
      <c r="C189" t="s">
        <v>737</v>
      </c>
      <c r="D189" t="s">
        <v>738</v>
      </c>
      <c r="E189" t="s">
        <v>51</v>
      </c>
      <c r="F189" t="s">
        <v>32</v>
      </c>
      <c r="G189" t="s">
        <v>84</v>
      </c>
      <c r="H189">
        <v>365</v>
      </c>
      <c r="I189">
        <v>1</v>
      </c>
      <c r="J189">
        <v>0.1</v>
      </c>
      <c r="K189">
        <v>48</v>
      </c>
      <c r="L189" t="s">
        <v>26</v>
      </c>
    </row>
    <row r="190" spans="1:12" x14ac:dyDescent="0.3">
      <c r="A190" t="s">
        <v>739</v>
      </c>
      <c r="B190" t="s">
        <v>740</v>
      </c>
      <c r="C190" t="s">
        <v>741</v>
      </c>
      <c r="D190" t="s">
        <v>742</v>
      </c>
      <c r="E190" t="s">
        <v>51</v>
      </c>
      <c r="F190" t="s">
        <v>16</v>
      </c>
      <c r="G190" t="s">
        <v>89</v>
      </c>
      <c r="H190">
        <v>265</v>
      </c>
      <c r="I190">
        <v>2</v>
      </c>
      <c r="J190">
        <v>0.05</v>
      </c>
      <c r="K190">
        <v>38</v>
      </c>
      <c r="L190" t="s">
        <v>18</v>
      </c>
    </row>
    <row r="191" spans="1:12" x14ac:dyDescent="0.3">
      <c r="A191" t="s">
        <v>743</v>
      </c>
      <c r="B191" t="s">
        <v>744</v>
      </c>
      <c r="C191" t="s">
        <v>745</v>
      </c>
      <c r="D191" t="s">
        <v>746</v>
      </c>
      <c r="E191" t="s">
        <v>51</v>
      </c>
      <c r="F191" t="s">
        <v>45</v>
      </c>
      <c r="G191" t="s">
        <v>95</v>
      </c>
      <c r="H191">
        <v>165</v>
      </c>
      <c r="I191">
        <v>1</v>
      </c>
      <c r="J191">
        <v>0</v>
      </c>
      <c r="K191">
        <v>33</v>
      </c>
      <c r="L191" t="s">
        <v>26</v>
      </c>
    </row>
    <row r="192" spans="1:12" x14ac:dyDescent="0.3">
      <c r="A192" t="s">
        <v>747</v>
      </c>
      <c r="B192" t="s">
        <v>748</v>
      </c>
      <c r="C192" t="s">
        <v>749</v>
      </c>
      <c r="D192" t="s">
        <v>750</v>
      </c>
      <c r="E192" t="s">
        <v>51</v>
      </c>
      <c r="F192" t="s">
        <v>32</v>
      </c>
      <c r="G192" t="s">
        <v>100</v>
      </c>
      <c r="H192">
        <v>215</v>
      </c>
      <c r="I192">
        <v>1</v>
      </c>
      <c r="J192">
        <v>0.1</v>
      </c>
      <c r="K192">
        <v>28</v>
      </c>
      <c r="L192" t="s">
        <v>18</v>
      </c>
    </row>
    <row r="193" spans="1:12" x14ac:dyDescent="0.3">
      <c r="A193" t="s">
        <v>751</v>
      </c>
      <c r="B193" t="s">
        <v>752</v>
      </c>
      <c r="C193" t="s">
        <v>753</v>
      </c>
      <c r="D193" t="s">
        <v>754</v>
      </c>
      <c r="E193" t="s">
        <v>51</v>
      </c>
      <c r="F193" t="s">
        <v>16</v>
      </c>
      <c r="G193" t="s">
        <v>106</v>
      </c>
      <c r="H193">
        <v>215</v>
      </c>
      <c r="I193">
        <v>1</v>
      </c>
      <c r="J193">
        <v>0</v>
      </c>
      <c r="K193">
        <v>48</v>
      </c>
      <c r="L193" t="s">
        <v>26</v>
      </c>
    </row>
    <row r="194" spans="1:12" x14ac:dyDescent="0.3">
      <c r="A194" t="s">
        <v>710</v>
      </c>
      <c r="B194" t="s">
        <v>711</v>
      </c>
      <c r="C194" t="s">
        <v>712</v>
      </c>
      <c r="D194" t="s">
        <v>713</v>
      </c>
      <c r="E194" t="s">
        <v>51</v>
      </c>
      <c r="F194" t="s">
        <v>45</v>
      </c>
      <c r="G194" t="s">
        <v>46</v>
      </c>
      <c r="H194">
        <v>58</v>
      </c>
      <c r="I194">
        <v>3</v>
      </c>
      <c r="J194">
        <v>0</v>
      </c>
      <c r="K194">
        <v>21</v>
      </c>
      <c r="L194" t="s">
        <v>26</v>
      </c>
    </row>
    <row r="195" spans="1:12" x14ac:dyDescent="0.3">
      <c r="A195" t="s">
        <v>755</v>
      </c>
      <c r="B195" t="s">
        <v>756</v>
      </c>
      <c r="C195" t="s">
        <v>757</v>
      </c>
      <c r="D195" t="s">
        <v>758</v>
      </c>
      <c r="E195" t="s">
        <v>51</v>
      </c>
      <c r="F195" t="s">
        <v>45</v>
      </c>
      <c r="G195" t="s">
        <v>112</v>
      </c>
      <c r="H195">
        <v>68</v>
      </c>
      <c r="I195">
        <v>2</v>
      </c>
      <c r="J195">
        <v>0.1</v>
      </c>
      <c r="K195">
        <v>15</v>
      </c>
      <c r="L195" t="s">
        <v>18</v>
      </c>
    </row>
    <row r="196" spans="1:12" x14ac:dyDescent="0.3">
      <c r="A196" t="s">
        <v>759</v>
      </c>
      <c r="B196" t="s">
        <v>760</v>
      </c>
      <c r="C196" t="s">
        <v>761</v>
      </c>
      <c r="D196" t="s">
        <v>30</v>
      </c>
      <c r="E196" t="s">
        <v>51</v>
      </c>
      <c r="F196" t="s">
        <v>32</v>
      </c>
      <c r="G196" t="s">
        <v>117</v>
      </c>
      <c r="H196">
        <v>1080</v>
      </c>
      <c r="I196">
        <v>1</v>
      </c>
      <c r="J196">
        <v>0.2</v>
      </c>
      <c r="K196">
        <v>165</v>
      </c>
      <c r="L196" t="s">
        <v>26</v>
      </c>
    </row>
    <row r="197" spans="1:12" x14ac:dyDescent="0.3">
      <c r="A197" t="s">
        <v>762</v>
      </c>
      <c r="B197" t="s">
        <v>763</v>
      </c>
      <c r="C197" t="s">
        <v>764</v>
      </c>
      <c r="D197" t="s">
        <v>765</v>
      </c>
      <c r="E197" t="s">
        <v>51</v>
      </c>
      <c r="F197" t="s">
        <v>16</v>
      </c>
      <c r="G197" t="s">
        <v>123</v>
      </c>
      <c r="H197">
        <v>680</v>
      </c>
      <c r="I197">
        <v>1</v>
      </c>
      <c r="J197">
        <v>0</v>
      </c>
      <c r="K197">
        <v>95</v>
      </c>
      <c r="L197" t="s">
        <v>40</v>
      </c>
    </row>
    <row r="198" spans="1:12" x14ac:dyDescent="0.3">
      <c r="A198" t="s">
        <v>766</v>
      </c>
      <c r="B198" t="s">
        <v>767</v>
      </c>
      <c r="C198" t="s">
        <v>768</v>
      </c>
      <c r="D198" t="s">
        <v>769</v>
      </c>
      <c r="E198" t="s">
        <v>51</v>
      </c>
      <c r="F198" t="s">
        <v>45</v>
      </c>
      <c r="G198" t="s">
        <v>129</v>
      </c>
      <c r="H198">
        <v>38</v>
      </c>
      <c r="I198">
        <v>3</v>
      </c>
      <c r="J198">
        <v>0</v>
      </c>
      <c r="K198">
        <v>9</v>
      </c>
      <c r="L198" t="s">
        <v>26</v>
      </c>
    </row>
    <row r="199" spans="1:12" x14ac:dyDescent="0.3">
      <c r="A199" t="s">
        <v>770</v>
      </c>
      <c r="B199" t="s">
        <v>771</v>
      </c>
      <c r="C199" t="s">
        <v>772</v>
      </c>
      <c r="D199" t="s">
        <v>773</v>
      </c>
      <c r="E199" t="s">
        <v>51</v>
      </c>
      <c r="F199" t="s">
        <v>32</v>
      </c>
      <c r="G199" t="s">
        <v>135</v>
      </c>
      <c r="H199">
        <v>-380</v>
      </c>
      <c r="I199">
        <v>1</v>
      </c>
      <c r="J199">
        <v>0</v>
      </c>
      <c r="K199">
        <v>-28</v>
      </c>
      <c r="L199" t="s">
        <v>18</v>
      </c>
    </row>
    <row r="200" spans="1:12" x14ac:dyDescent="0.3">
      <c r="A200" t="s">
        <v>774</v>
      </c>
      <c r="B200" t="s">
        <v>775</v>
      </c>
      <c r="C200" t="s">
        <v>776</v>
      </c>
      <c r="D200" t="s">
        <v>777</v>
      </c>
      <c r="E200" t="s">
        <v>51</v>
      </c>
      <c r="F200" t="s">
        <v>16</v>
      </c>
      <c r="G200" t="s">
        <v>141</v>
      </c>
      <c r="H200">
        <v>88</v>
      </c>
      <c r="I200">
        <v>2</v>
      </c>
      <c r="J200">
        <v>0.1</v>
      </c>
      <c r="K200">
        <v>21</v>
      </c>
      <c r="L200" t="s">
        <v>26</v>
      </c>
    </row>
    <row r="201" spans="1:12" x14ac:dyDescent="0.3">
      <c r="A201" t="s">
        <v>778</v>
      </c>
      <c r="B201" t="s">
        <v>779</v>
      </c>
      <c r="C201" t="s">
        <v>780</v>
      </c>
      <c r="D201" t="s">
        <v>781</v>
      </c>
      <c r="E201" t="s">
        <v>51</v>
      </c>
      <c r="F201" t="s">
        <v>45</v>
      </c>
      <c r="G201" t="s">
        <v>146</v>
      </c>
      <c r="H201">
        <v>21</v>
      </c>
      <c r="I201">
        <v>5</v>
      </c>
      <c r="J201">
        <v>0</v>
      </c>
      <c r="K201">
        <v>9</v>
      </c>
      <c r="L201" t="s">
        <v>18</v>
      </c>
    </row>
    <row r="202" spans="1:12" x14ac:dyDescent="0.3">
      <c r="A202" t="s">
        <v>782</v>
      </c>
      <c r="B202" t="s">
        <v>783</v>
      </c>
      <c r="C202" t="s">
        <v>784</v>
      </c>
      <c r="D202" t="s">
        <v>785</v>
      </c>
      <c r="E202" t="s">
        <v>51</v>
      </c>
      <c r="F202" t="s">
        <v>32</v>
      </c>
      <c r="G202" t="s">
        <v>152</v>
      </c>
      <c r="H202">
        <v>48</v>
      </c>
      <c r="I202">
        <v>4</v>
      </c>
      <c r="J202">
        <v>0</v>
      </c>
      <c r="K202">
        <v>15</v>
      </c>
      <c r="L202" t="s">
        <v>26</v>
      </c>
    </row>
    <row r="203" spans="1:12" x14ac:dyDescent="0.3">
      <c r="A203" t="s">
        <v>786</v>
      </c>
      <c r="B203" t="s">
        <v>787</v>
      </c>
      <c r="C203" t="s">
        <v>788</v>
      </c>
      <c r="D203" t="s">
        <v>789</v>
      </c>
      <c r="E203" t="s">
        <v>51</v>
      </c>
      <c r="F203" t="s">
        <v>16</v>
      </c>
      <c r="G203" t="s">
        <v>158</v>
      </c>
      <c r="H203">
        <v>58</v>
      </c>
      <c r="I203">
        <v>2</v>
      </c>
      <c r="J203">
        <v>0</v>
      </c>
      <c r="K203">
        <v>15</v>
      </c>
      <c r="L203" t="s">
        <v>18</v>
      </c>
    </row>
    <row r="204" spans="1:12" x14ac:dyDescent="0.3">
      <c r="A204" t="s">
        <v>790</v>
      </c>
      <c r="B204" t="s">
        <v>791</v>
      </c>
      <c r="C204" t="s">
        <v>792</v>
      </c>
      <c r="D204" t="s">
        <v>30</v>
      </c>
      <c r="E204" t="s">
        <v>51</v>
      </c>
      <c r="F204" t="s">
        <v>45</v>
      </c>
      <c r="G204" t="s">
        <v>163</v>
      </c>
      <c r="H204">
        <v>28</v>
      </c>
      <c r="I204">
        <v>1</v>
      </c>
      <c r="J204">
        <v>0</v>
      </c>
      <c r="K204">
        <v>9</v>
      </c>
      <c r="L204" t="s">
        <v>26</v>
      </c>
    </row>
    <row r="205" spans="1:12" x14ac:dyDescent="0.3">
      <c r="A205" t="s">
        <v>793</v>
      </c>
      <c r="B205" t="s">
        <v>794</v>
      </c>
      <c r="C205" t="s">
        <v>795</v>
      </c>
      <c r="D205" t="s">
        <v>796</v>
      </c>
      <c r="E205" t="s">
        <v>51</v>
      </c>
      <c r="F205" t="s">
        <v>32</v>
      </c>
      <c r="G205" t="s">
        <v>168</v>
      </c>
      <c r="H205">
        <v>68</v>
      </c>
      <c r="I205">
        <v>2</v>
      </c>
      <c r="J205">
        <v>0.1</v>
      </c>
      <c r="K205">
        <v>15</v>
      </c>
      <c r="L205" t="s">
        <v>18</v>
      </c>
    </row>
    <row r="206" spans="1:12" x14ac:dyDescent="0.3">
      <c r="A206" t="s">
        <v>797</v>
      </c>
      <c r="B206" t="s">
        <v>798</v>
      </c>
      <c r="C206" t="s">
        <v>799</v>
      </c>
      <c r="D206" t="s">
        <v>800</v>
      </c>
      <c r="E206" t="s">
        <v>51</v>
      </c>
      <c r="F206" t="s">
        <v>16</v>
      </c>
      <c r="G206" t="s">
        <v>174</v>
      </c>
      <c r="H206">
        <v>33</v>
      </c>
      <c r="I206">
        <v>3</v>
      </c>
      <c r="J206">
        <v>0</v>
      </c>
      <c r="K206">
        <v>9</v>
      </c>
      <c r="L206" t="s">
        <v>74</v>
      </c>
    </row>
    <row r="207" spans="1:12" x14ac:dyDescent="0.3">
      <c r="A207" t="s">
        <v>801</v>
      </c>
      <c r="B207" t="s">
        <v>802</v>
      </c>
      <c r="C207" t="s">
        <v>803</v>
      </c>
      <c r="D207" t="s">
        <v>104</v>
      </c>
      <c r="E207" t="s">
        <v>105</v>
      </c>
      <c r="F207" t="s">
        <v>16</v>
      </c>
      <c r="G207" t="s">
        <v>17</v>
      </c>
      <c r="H207">
        <v>1230</v>
      </c>
      <c r="I207">
        <v>1</v>
      </c>
      <c r="J207">
        <v>0.1</v>
      </c>
      <c r="K207">
        <v>158</v>
      </c>
      <c r="L207" t="s">
        <v>18</v>
      </c>
    </row>
    <row r="208" spans="1:12" x14ac:dyDescent="0.3">
      <c r="A208" t="s">
        <v>804</v>
      </c>
      <c r="B208" t="s">
        <v>805</v>
      </c>
      <c r="C208" t="s">
        <v>806</v>
      </c>
      <c r="D208" t="s">
        <v>807</v>
      </c>
      <c r="E208" t="s">
        <v>105</v>
      </c>
      <c r="F208" t="s">
        <v>24</v>
      </c>
      <c r="G208" t="s">
        <v>25</v>
      </c>
      <c r="H208">
        <v>29</v>
      </c>
      <c r="I208">
        <v>2</v>
      </c>
      <c r="J208">
        <v>0</v>
      </c>
      <c r="K208">
        <v>14</v>
      </c>
      <c r="L208" t="s">
        <v>26</v>
      </c>
    </row>
    <row r="209" spans="1:12" x14ac:dyDescent="0.3">
      <c r="A209" t="s">
        <v>808</v>
      </c>
      <c r="B209" t="s">
        <v>809</v>
      </c>
      <c r="C209" t="s">
        <v>810</v>
      </c>
      <c r="D209" t="s">
        <v>30</v>
      </c>
      <c r="E209" t="s">
        <v>105</v>
      </c>
      <c r="F209" t="s">
        <v>32</v>
      </c>
      <c r="G209" t="s">
        <v>33</v>
      </c>
      <c r="H209">
        <v>-540</v>
      </c>
      <c r="I209">
        <v>1</v>
      </c>
      <c r="J209">
        <v>0</v>
      </c>
      <c r="K209">
        <v>-58</v>
      </c>
      <c r="L209" t="s">
        <v>18</v>
      </c>
    </row>
    <row r="210" spans="1:12" x14ac:dyDescent="0.3">
      <c r="A210" t="s">
        <v>811</v>
      </c>
      <c r="B210" t="s">
        <v>812</v>
      </c>
      <c r="C210" t="s">
        <v>813</v>
      </c>
      <c r="D210" t="s">
        <v>814</v>
      </c>
      <c r="E210" t="s">
        <v>105</v>
      </c>
      <c r="F210" t="s">
        <v>16</v>
      </c>
      <c r="G210" t="s">
        <v>39</v>
      </c>
      <c r="H210">
        <v>880</v>
      </c>
      <c r="I210">
        <v>1</v>
      </c>
      <c r="J210">
        <v>0.05</v>
      </c>
      <c r="K210">
        <v>118</v>
      </c>
      <c r="L210" t="s">
        <v>40</v>
      </c>
    </row>
    <row r="211" spans="1:12" x14ac:dyDescent="0.3">
      <c r="A211" t="s">
        <v>815</v>
      </c>
      <c r="B211" t="s">
        <v>816</v>
      </c>
      <c r="C211" t="s">
        <v>817</v>
      </c>
      <c r="D211" t="s">
        <v>818</v>
      </c>
      <c r="E211" t="s">
        <v>105</v>
      </c>
      <c r="F211" t="s">
        <v>45</v>
      </c>
      <c r="G211" t="s">
        <v>46</v>
      </c>
      <c r="H211">
        <v>60</v>
      </c>
      <c r="I211">
        <v>3</v>
      </c>
      <c r="J211">
        <v>0</v>
      </c>
      <c r="K211">
        <v>23</v>
      </c>
      <c r="L211" t="s">
        <v>26</v>
      </c>
    </row>
    <row r="212" spans="1:12" x14ac:dyDescent="0.3">
      <c r="A212" t="s">
        <v>819</v>
      </c>
      <c r="B212" t="s">
        <v>820</v>
      </c>
      <c r="C212" t="s">
        <v>821</v>
      </c>
      <c r="D212" t="s">
        <v>822</v>
      </c>
      <c r="E212" t="s">
        <v>105</v>
      </c>
      <c r="F212" t="s">
        <v>52</v>
      </c>
      <c r="G212" t="s">
        <v>53</v>
      </c>
      <c r="H212">
        <v>168</v>
      </c>
      <c r="I212">
        <v>4</v>
      </c>
      <c r="J212">
        <v>0.1</v>
      </c>
      <c r="K212">
        <v>26</v>
      </c>
      <c r="L212" t="s">
        <v>26</v>
      </c>
    </row>
    <row r="213" spans="1:12" x14ac:dyDescent="0.3">
      <c r="A213" t="s">
        <v>823</v>
      </c>
      <c r="B213" t="s">
        <v>824</v>
      </c>
      <c r="C213" t="s">
        <v>825</v>
      </c>
      <c r="D213" t="s">
        <v>826</v>
      </c>
      <c r="E213" t="s">
        <v>105</v>
      </c>
      <c r="F213" t="s">
        <v>16</v>
      </c>
      <c r="G213" t="s">
        <v>59</v>
      </c>
      <c r="H213">
        <v>318</v>
      </c>
      <c r="I213">
        <v>2</v>
      </c>
      <c r="J213">
        <v>0</v>
      </c>
      <c r="K213">
        <v>50</v>
      </c>
      <c r="L213" t="s">
        <v>18</v>
      </c>
    </row>
    <row r="214" spans="1:12" x14ac:dyDescent="0.3">
      <c r="A214" t="s">
        <v>827</v>
      </c>
      <c r="B214" t="s">
        <v>828</v>
      </c>
      <c r="C214" t="s">
        <v>829</v>
      </c>
      <c r="D214" t="s">
        <v>30</v>
      </c>
      <c r="E214" t="s">
        <v>105</v>
      </c>
      <c r="F214" t="s">
        <v>45</v>
      </c>
      <c r="G214" t="s">
        <v>63</v>
      </c>
      <c r="H214">
        <v>88</v>
      </c>
      <c r="I214">
        <v>1</v>
      </c>
      <c r="J214">
        <v>0.2</v>
      </c>
      <c r="K214">
        <v>23</v>
      </c>
      <c r="L214" t="s">
        <v>26</v>
      </c>
    </row>
    <row r="215" spans="1:12" x14ac:dyDescent="0.3">
      <c r="A215" t="s">
        <v>830</v>
      </c>
      <c r="B215" t="s">
        <v>831</v>
      </c>
      <c r="C215" t="s">
        <v>832</v>
      </c>
      <c r="D215" t="s">
        <v>833</v>
      </c>
      <c r="E215" t="s">
        <v>105</v>
      </c>
      <c r="F215" t="s">
        <v>32</v>
      </c>
      <c r="G215" t="s">
        <v>68</v>
      </c>
      <c r="H215">
        <v>990</v>
      </c>
      <c r="I215">
        <v>1</v>
      </c>
      <c r="J215">
        <v>0.15</v>
      </c>
      <c r="K215">
        <v>118</v>
      </c>
      <c r="L215" t="s">
        <v>18</v>
      </c>
    </row>
    <row r="216" spans="1:12" x14ac:dyDescent="0.3">
      <c r="A216" t="s">
        <v>834</v>
      </c>
      <c r="B216" t="s">
        <v>835</v>
      </c>
      <c r="C216" t="s">
        <v>836</v>
      </c>
      <c r="D216" t="s">
        <v>837</v>
      </c>
      <c r="E216" t="s">
        <v>105</v>
      </c>
      <c r="F216" t="s">
        <v>16</v>
      </c>
      <c r="G216" t="s">
        <v>73</v>
      </c>
      <c r="H216">
        <v>118</v>
      </c>
      <c r="I216">
        <v>0</v>
      </c>
      <c r="J216">
        <v>0</v>
      </c>
      <c r="K216">
        <v>30</v>
      </c>
      <c r="L216" t="s">
        <v>74</v>
      </c>
    </row>
    <row r="217" spans="1:12" x14ac:dyDescent="0.3">
      <c r="A217" t="s">
        <v>838</v>
      </c>
      <c r="B217" t="s">
        <v>839</v>
      </c>
      <c r="C217" t="s">
        <v>840</v>
      </c>
      <c r="D217" t="s">
        <v>841</v>
      </c>
      <c r="E217" t="s">
        <v>105</v>
      </c>
      <c r="F217" t="s">
        <v>45</v>
      </c>
      <c r="G217" t="s">
        <v>79</v>
      </c>
      <c r="H217">
        <v>138</v>
      </c>
      <c r="I217">
        <v>-1</v>
      </c>
      <c r="J217">
        <v>0</v>
      </c>
      <c r="K217">
        <v>40</v>
      </c>
      <c r="L217" t="s">
        <v>18</v>
      </c>
    </row>
    <row r="218" spans="1:12" x14ac:dyDescent="0.3">
      <c r="A218" t="s">
        <v>842</v>
      </c>
      <c r="B218" t="s">
        <v>843</v>
      </c>
      <c r="C218" t="s">
        <v>844</v>
      </c>
      <c r="D218" t="s">
        <v>845</v>
      </c>
      <c r="E218" t="s">
        <v>105</v>
      </c>
      <c r="F218" t="s">
        <v>32</v>
      </c>
      <c r="G218" t="s">
        <v>84</v>
      </c>
      <c r="H218">
        <v>368</v>
      </c>
      <c r="I218">
        <v>1</v>
      </c>
      <c r="J218">
        <v>0.1</v>
      </c>
      <c r="K218">
        <v>50</v>
      </c>
      <c r="L218" t="s">
        <v>26</v>
      </c>
    </row>
    <row r="219" spans="1:12" x14ac:dyDescent="0.3">
      <c r="A219" t="s">
        <v>846</v>
      </c>
      <c r="B219" t="s">
        <v>847</v>
      </c>
      <c r="C219" t="s">
        <v>848</v>
      </c>
      <c r="D219" t="s">
        <v>849</v>
      </c>
      <c r="E219" t="s">
        <v>105</v>
      </c>
      <c r="F219" t="s">
        <v>16</v>
      </c>
      <c r="G219" t="s">
        <v>89</v>
      </c>
      <c r="H219">
        <v>268</v>
      </c>
      <c r="I219">
        <v>2</v>
      </c>
      <c r="J219">
        <v>0.05</v>
      </c>
      <c r="K219">
        <v>40</v>
      </c>
      <c r="L219" t="s">
        <v>18</v>
      </c>
    </row>
    <row r="220" spans="1:12" x14ac:dyDescent="0.3">
      <c r="A220" t="s">
        <v>850</v>
      </c>
      <c r="B220" t="s">
        <v>851</v>
      </c>
      <c r="C220" t="s">
        <v>690</v>
      </c>
      <c r="D220" t="s">
        <v>415</v>
      </c>
      <c r="E220" t="s">
        <v>105</v>
      </c>
      <c r="F220" t="s">
        <v>45</v>
      </c>
      <c r="G220" t="s">
        <v>95</v>
      </c>
      <c r="H220">
        <v>168</v>
      </c>
      <c r="I220">
        <v>1</v>
      </c>
      <c r="J220">
        <v>0</v>
      </c>
      <c r="K220">
        <v>35</v>
      </c>
      <c r="L220" t="s">
        <v>26</v>
      </c>
    </row>
    <row r="221" spans="1:12" x14ac:dyDescent="0.3">
      <c r="A221" t="s">
        <v>819</v>
      </c>
      <c r="B221" t="s">
        <v>820</v>
      </c>
      <c r="C221" t="s">
        <v>821</v>
      </c>
      <c r="D221" t="s">
        <v>822</v>
      </c>
      <c r="E221" t="s">
        <v>105</v>
      </c>
      <c r="F221" t="s">
        <v>52</v>
      </c>
      <c r="G221" t="s">
        <v>53</v>
      </c>
      <c r="H221">
        <v>168</v>
      </c>
      <c r="I221">
        <v>4</v>
      </c>
      <c r="J221">
        <v>0.1</v>
      </c>
      <c r="K221">
        <v>26</v>
      </c>
      <c r="L221" t="s">
        <v>26</v>
      </c>
    </row>
    <row r="222" spans="1:12" x14ac:dyDescent="0.3">
      <c r="A222" t="s">
        <v>852</v>
      </c>
      <c r="B222" t="s">
        <v>853</v>
      </c>
      <c r="C222" t="s">
        <v>854</v>
      </c>
      <c r="D222" t="s">
        <v>855</v>
      </c>
      <c r="E222" t="s">
        <v>105</v>
      </c>
      <c r="F222" t="s">
        <v>32</v>
      </c>
      <c r="G222" t="s">
        <v>100</v>
      </c>
      <c r="H222">
        <v>218</v>
      </c>
      <c r="I222">
        <v>1</v>
      </c>
      <c r="J222">
        <v>0.1</v>
      </c>
      <c r="K222">
        <v>30</v>
      </c>
      <c r="L222" t="s">
        <v>18</v>
      </c>
    </row>
    <row r="223" spans="1:12" x14ac:dyDescent="0.3">
      <c r="A223" t="s">
        <v>856</v>
      </c>
      <c r="B223" t="s">
        <v>857</v>
      </c>
      <c r="C223" t="s">
        <v>858</v>
      </c>
      <c r="D223" t="s">
        <v>859</v>
      </c>
      <c r="E223" t="s">
        <v>105</v>
      </c>
      <c r="F223" t="s">
        <v>16</v>
      </c>
      <c r="G223" t="s">
        <v>106</v>
      </c>
      <c r="H223">
        <v>218</v>
      </c>
      <c r="I223">
        <v>1</v>
      </c>
      <c r="J223">
        <v>0</v>
      </c>
      <c r="K223">
        <v>50</v>
      </c>
      <c r="L223" t="s">
        <v>26</v>
      </c>
    </row>
    <row r="224" spans="1:12" x14ac:dyDescent="0.3">
      <c r="A224" t="s">
        <v>860</v>
      </c>
      <c r="B224" t="s">
        <v>861</v>
      </c>
      <c r="C224" t="s">
        <v>546</v>
      </c>
      <c r="D224" t="s">
        <v>862</v>
      </c>
      <c r="E224" t="s">
        <v>105</v>
      </c>
      <c r="F224" t="s">
        <v>45</v>
      </c>
      <c r="G224" t="s">
        <v>112</v>
      </c>
      <c r="H224">
        <v>70</v>
      </c>
      <c r="I224">
        <v>2</v>
      </c>
      <c r="J224">
        <v>0.1</v>
      </c>
      <c r="K224">
        <v>16</v>
      </c>
      <c r="L224" t="s">
        <v>18</v>
      </c>
    </row>
    <row r="225" spans="1:12" x14ac:dyDescent="0.3">
      <c r="A225" t="s">
        <v>863</v>
      </c>
      <c r="B225" t="s">
        <v>864</v>
      </c>
      <c r="C225" t="s">
        <v>865</v>
      </c>
      <c r="D225" t="s">
        <v>30</v>
      </c>
      <c r="E225" t="s">
        <v>105</v>
      </c>
      <c r="F225" t="s">
        <v>32</v>
      </c>
      <c r="G225" t="s">
        <v>117</v>
      </c>
      <c r="H225">
        <v>1100</v>
      </c>
      <c r="I225">
        <v>1</v>
      </c>
      <c r="J225">
        <v>0.2</v>
      </c>
      <c r="K225">
        <v>168</v>
      </c>
      <c r="L225" t="s">
        <v>26</v>
      </c>
    </row>
    <row r="226" spans="1:12" x14ac:dyDescent="0.3">
      <c r="A226" t="s">
        <v>866</v>
      </c>
      <c r="B226" t="s">
        <v>867</v>
      </c>
      <c r="C226" t="s">
        <v>868</v>
      </c>
      <c r="D226" t="s">
        <v>869</v>
      </c>
      <c r="E226" t="s">
        <v>105</v>
      </c>
      <c r="F226" t="s">
        <v>16</v>
      </c>
      <c r="G226" t="s">
        <v>123</v>
      </c>
      <c r="H226">
        <v>700</v>
      </c>
      <c r="I226">
        <v>1</v>
      </c>
      <c r="J226">
        <v>0</v>
      </c>
      <c r="K226">
        <v>98</v>
      </c>
      <c r="L226" t="s">
        <v>40</v>
      </c>
    </row>
    <row r="227" spans="1:12" x14ac:dyDescent="0.3">
      <c r="A227" t="s">
        <v>870</v>
      </c>
      <c r="B227" t="s">
        <v>871</v>
      </c>
      <c r="C227" t="s">
        <v>872</v>
      </c>
      <c r="D227" t="s">
        <v>873</v>
      </c>
      <c r="E227" t="s">
        <v>105</v>
      </c>
      <c r="F227" t="s">
        <v>45</v>
      </c>
      <c r="G227" t="s">
        <v>129</v>
      </c>
      <c r="H227">
        <v>40</v>
      </c>
      <c r="I227">
        <v>3</v>
      </c>
      <c r="J227">
        <v>0</v>
      </c>
      <c r="K227">
        <v>10</v>
      </c>
      <c r="L227" t="s">
        <v>26</v>
      </c>
    </row>
    <row r="228" spans="1:12" x14ac:dyDescent="0.3">
      <c r="A228" t="s">
        <v>874</v>
      </c>
      <c r="B228" t="s">
        <v>875</v>
      </c>
      <c r="C228" t="s">
        <v>876</v>
      </c>
      <c r="D228" t="s">
        <v>877</v>
      </c>
      <c r="E228" t="s">
        <v>105</v>
      </c>
      <c r="F228" t="s">
        <v>32</v>
      </c>
      <c r="G228" t="s">
        <v>135</v>
      </c>
      <c r="H228">
        <v>-400</v>
      </c>
      <c r="I228">
        <v>1</v>
      </c>
      <c r="J228">
        <v>0</v>
      </c>
      <c r="K228">
        <v>-30</v>
      </c>
      <c r="L228" t="s">
        <v>18</v>
      </c>
    </row>
    <row r="229" spans="1:12" x14ac:dyDescent="0.3">
      <c r="A229" t="s">
        <v>878</v>
      </c>
      <c r="B229" t="s">
        <v>879</v>
      </c>
      <c r="C229" t="s">
        <v>880</v>
      </c>
      <c r="D229" t="s">
        <v>881</v>
      </c>
      <c r="E229" t="s">
        <v>105</v>
      </c>
      <c r="F229" t="s">
        <v>16</v>
      </c>
      <c r="G229" t="s">
        <v>141</v>
      </c>
      <c r="H229">
        <v>90</v>
      </c>
      <c r="I229">
        <v>2</v>
      </c>
      <c r="J229">
        <v>0.1</v>
      </c>
      <c r="K229">
        <v>23</v>
      </c>
      <c r="L229" t="s">
        <v>26</v>
      </c>
    </row>
    <row r="230" spans="1:12" x14ac:dyDescent="0.3">
      <c r="A230" t="s">
        <v>882</v>
      </c>
      <c r="B230" t="s">
        <v>883</v>
      </c>
      <c r="C230" t="s">
        <v>884</v>
      </c>
      <c r="D230" t="s">
        <v>885</v>
      </c>
      <c r="E230" t="s">
        <v>105</v>
      </c>
      <c r="F230" t="s">
        <v>45</v>
      </c>
      <c r="G230" t="s">
        <v>146</v>
      </c>
      <c r="H230">
        <v>23</v>
      </c>
      <c r="I230">
        <v>5</v>
      </c>
      <c r="J230">
        <v>0</v>
      </c>
      <c r="K230">
        <v>10</v>
      </c>
      <c r="L230" t="s">
        <v>18</v>
      </c>
    </row>
    <row r="231" spans="1:12" x14ac:dyDescent="0.3">
      <c r="A231" t="s">
        <v>886</v>
      </c>
      <c r="B231" t="s">
        <v>887</v>
      </c>
      <c r="C231" t="s">
        <v>888</v>
      </c>
      <c r="D231" t="s">
        <v>889</v>
      </c>
      <c r="E231" t="s">
        <v>105</v>
      </c>
      <c r="F231" t="s">
        <v>32</v>
      </c>
      <c r="G231" t="s">
        <v>152</v>
      </c>
      <c r="H231">
        <v>50</v>
      </c>
      <c r="I231">
        <v>4</v>
      </c>
      <c r="J231">
        <v>0</v>
      </c>
      <c r="K231">
        <v>16</v>
      </c>
      <c r="L231" t="s">
        <v>26</v>
      </c>
    </row>
    <row r="232" spans="1:12" x14ac:dyDescent="0.3">
      <c r="A232" t="s">
        <v>890</v>
      </c>
      <c r="B232" t="s">
        <v>891</v>
      </c>
      <c r="C232" t="s">
        <v>892</v>
      </c>
      <c r="D232" t="s">
        <v>893</v>
      </c>
      <c r="E232" t="s">
        <v>105</v>
      </c>
      <c r="F232" t="s">
        <v>16</v>
      </c>
      <c r="G232" t="s">
        <v>158</v>
      </c>
      <c r="H232">
        <v>60</v>
      </c>
      <c r="I232">
        <v>2</v>
      </c>
      <c r="J232">
        <v>0</v>
      </c>
      <c r="K232">
        <v>16</v>
      </c>
      <c r="L232" t="s">
        <v>18</v>
      </c>
    </row>
    <row r="233" spans="1:12" x14ac:dyDescent="0.3">
      <c r="A233" t="s">
        <v>894</v>
      </c>
      <c r="B233" t="s">
        <v>895</v>
      </c>
      <c r="C233" t="s">
        <v>896</v>
      </c>
      <c r="D233" t="s">
        <v>30</v>
      </c>
      <c r="E233" t="s">
        <v>105</v>
      </c>
      <c r="F233" t="s">
        <v>45</v>
      </c>
      <c r="G233" t="s">
        <v>163</v>
      </c>
      <c r="H233">
        <v>30</v>
      </c>
      <c r="I233">
        <v>1</v>
      </c>
      <c r="J233">
        <v>0</v>
      </c>
      <c r="K233">
        <v>10</v>
      </c>
      <c r="L233" t="s">
        <v>26</v>
      </c>
    </row>
    <row r="234" spans="1:12" x14ac:dyDescent="0.3">
      <c r="A234" t="s">
        <v>897</v>
      </c>
      <c r="B234" t="s">
        <v>898</v>
      </c>
      <c r="C234" t="s">
        <v>899</v>
      </c>
      <c r="D234" t="s">
        <v>900</v>
      </c>
      <c r="E234" t="s">
        <v>105</v>
      </c>
      <c r="F234" t="s">
        <v>32</v>
      </c>
      <c r="G234" t="s">
        <v>168</v>
      </c>
      <c r="H234">
        <v>70</v>
      </c>
      <c r="I234">
        <v>2</v>
      </c>
      <c r="J234">
        <v>0.1</v>
      </c>
      <c r="K234">
        <v>16</v>
      </c>
      <c r="L234" t="s">
        <v>18</v>
      </c>
    </row>
    <row r="235" spans="1:12" x14ac:dyDescent="0.3">
      <c r="A235" t="s">
        <v>901</v>
      </c>
      <c r="B235" t="s">
        <v>902</v>
      </c>
      <c r="C235" t="s">
        <v>903</v>
      </c>
      <c r="D235" t="s">
        <v>904</v>
      </c>
      <c r="E235" t="s">
        <v>105</v>
      </c>
      <c r="F235" t="s">
        <v>16</v>
      </c>
      <c r="G235" t="s">
        <v>174</v>
      </c>
      <c r="H235">
        <v>35</v>
      </c>
      <c r="I235">
        <v>3</v>
      </c>
      <c r="J235">
        <v>0</v>
      </c>
      <c r="K235">
        <v>10</v>
      </c>
      <c r="L235" t="s">
        <v>74</v>
      </c>
    </row>
    <row r="236" spans="1:12" x14ac:dyDescent="0.3">
      <c r="A236" t="s">
        <v>905</v>
      </c>
      <c r="B236" t="s">
        <v>906</v>
      </c>
      <c r="C236" t="s">
        <v>907</v>
      </c>
      <c r="D236" t="s">
        <v>110</v>
      </c>
      <c r="E236" t="s">
        <v>111</v>
      </c>
      <c r="F236" t="s">
        <v>16</v>
      </c>
      <c r="G236" t="s">
        <v>17</v>
      </c>
      <c r="H236">
        <v>1240</v>
      </c>
      <c r="I236">
        <v>1</v>
      </c>
      <c r="J236">
        <v>0.1</v>
      </c>
      <c r="K236">
        <v>160</v>
      </c>
      <c r="L236" t="s">
        <v>18</v>
      </c>
    </row>
    <row r="237" spans="1:12" x14ac:dyDescent="0.3">
      <c r="A237" t="s">
        <v>908</v>
      </c>
      <c r="B237" t="s">
        <v>909</v>
      </c>
      <c r="C237" t="s">
        <v>910</v>
      </c>
      <c r="D237" t="s">
        <v>911</v>
      </c>
      <c r="E237" t="s">
        <v>111</v>
      </c>
      <c r="F237" t="s">
        <v>24</v>
      </c>
      <c r="G237" t="s">
        <v>25</v>
      </c>
      <c r="H237">
        <v>30</v>
      </c>
      <c r="I237">
        <v>2</v>
      </c>
      <c r="J237">
        <v>0</v>
      </c>
      <c r="K237">
        <v>15</v>
      </c>
      <c r="L237" t="s">
        <v>26</v>
      </c>
    </row>
    <row r="238" spans="1:12" x14ac:dyDescent="0.3">
      <c r="A238" t="s">
        <v>912</v>
      </c>
      <c r="B238" t="s">
        <v>913</v>
      </c>
      <c r="C238" t="s">
        <v>914</v>
      </c>
      <c r="D238" t="s">
        <v>30</v>
      </c>
      <c r="E238" t="s">
        <v>111</v>
      </c>
      <c r="F238" t="s">
        <v>32</v>
      </c>
      <c r="G238" t="s">
        <v>33</v>
      </c>
      <c r="H238">
        <v>-550</v>
      </c>
      <c r="I238">
        <v>1</v>
      </c>
      <c r="J238">
        <v>0</v>
      </c>
      <c r="K238">
        <v>-60</v>
      </c>
      <c r="L238" t="s">
        <v>18</v>
      </c>
    </row>
    <row r="239" spans="1:12" x14ac:dyDescent="0.3">
      <c r="A239" t="s">
        <v>915</v>
      </c>
      <c r="B239" t="s">
        <v>916</v>
      </c>
      <c r="C239" t="s">
        <v>917</v>
      </c>
      <c r="D239" t="s">
        <v>918</v>
      </c>
      <c r="E239" t="s">
        <v>111</v>
      </c>
      <c r="F239" t="s">
        <v>16</v>
      </c>
      <c r="G239" t="s">
        <v>39</v>
      </c>
      <c r="H239">
        <v>900</v>
      </c>
      <c r="I239">
        <v>1</v>
      </c>
      <c r="J239">
        <v>0.05</v>
      </c>
      <c r="K239">
        <v>120</v>
      </c>
      <c r="L239" t="s">
        <v>40</v>
      </c>
    </row>
    <row r="240" spans="1:12" x14ac:dyDescent="0.3">
      <c r="A240" t="s">
        <v>919</v>
      </c>
      <c r="B240" t="s">
        <v>920</v>
      </c>
      <c r="C240" t="s">
        <v>921</v>
      </c>
      <c r="D240" t="s">
        <v>922</v>
      </c>
      <c r="E240" t="s">
        <v>111</v>
      </c>
      <c r="F240" t="s">
        <v>45</v>
      </c>
      <c r="G240" t="s">
        <v>46</v>
      </c>
      <c r="H240">
        <v>62</v>
      </c>
      <c r="I240">
        <v>3</v>
      </c>
      <c r="J240">
        <v>0</v>
      </c>
      <c r="K240">
        <v>25</v>
      </c>
      <c r="L240" t="s">
        <v>26</v>
      </c>
    </row>
    <row r="241" spans="1:12" x14ac:dyDescent="0.3">
      <c r="A241" t="s">
        <v>923</v>
      </c>
      <c r="B241" t="s">
        <v>924</v>
      </c>
      <c r="C241" t="s">
        <v>925</v>
      </c>
      <c r="D241" t="s">
        <v>926</v>
      </c>
      <c r="E241" t="s">
        <v>111</v>
      </c>
      <c r="F241" t="s">
        <v>52</v>
      </c>
      <c r="G241" t="s">
        <v>53</v>
      </c>
      <c r="H241">
        <v>170</v>
      </c>
      <c r="I241">
        <v>4</v>
      </c>
      <c r="J241">
        <v>0.1</v>
      </c>
      <c r="K241">
        <v>28</v>
      </c>
      <c r="L241" t="s">
        <v>26</v>
      </c>
    </row>
    <row r="242" spans="1:12" x14ac:dyDescent="0.3">
      <c r="A242" t="s">
        <v>927</v>
      </c>
      <c r="B242" t="s">
        <v>928</v>
      </c>
      <c r="C242" t="s">
        <v>929</v>
      </c>
      <c r="D242" t="s">
        <v>930</v>
      </c>
      <c r="E242" t="s">
        <v>111</v>
      </c>
      <c r="F242" t="s">
        <v>16</v>
      </c>
      <c r="G242" t="s">
        <v>59</v>
      </c>
      <c r="H242">
        <v>320</v>
      </c>
      <c r="I242">
        <v>2</v>
      </c>
      <c r="J242">
        <v>0</v>
      </c>
      <c r="K242">
        <v>52</v>
      </c>
      <c r="L242" t="s">
        <v>18</v>
      </c>
    </row>
    <row r="243" spans="1:12" x14ac:dyDescent="0.3">
      <c r="A243" t="s">
        <v>931</v>
      </c>
      <c r="B243" t="s">
        <v>932</v>
      </c>
      <c r="C243" t="s">
        <v>933</v>
      </c>
      <c r="D243" t="s">
        <v>30</v>
      </c>
      <c r="E243" t="s">
        <v>111</v>
      </c>
      <c r="F243" t="s">
        <v>45</v>
      </c>
      <c r="G243" t="s">
        <v>63</v>
      </c>
      <c r="H243">
        <v>90</v>
      </c>
      <c r="I243">
        <v>1</v>
      </c>
      <c r="J243">
        <v>0.2</v>
      </c>
      <c r="K243">
        <v>25</v>
      </c>
      <c r="L243" t="s">
        <v>26</v>
      </c>
    </row>
    <row r="244" spans="1:12" x14ac:dyDescent="0.3">
      <c r="A244" t="s">
        <v>934</v>
      </c>
      <c r="B244" t="s">
        <v>935</v>
      </c>
      <c r="C244" t="s">
        <v>936</v>
      </c>
      <c r="D244" t="s">
        <v>937</v>
      </c>
      <c r="E244" t="s">
        <v>111</v>
      </c>
      <c r="F244" t="s">
        <v>32</v>
      </c>
      <c r="G244" t="s">
        <v>68</v>
      </c>
      <c r="H244">
        <v>1000</v>
      </c>
      <c r="I244">
        <v>1</v>
      </c>
      <c r="J244">
        <v>0.15</v>
      </c>
      <c r="K244">
        <v>120</v>
      </c>
      <c r="L244" t="s">
        <v>18</v>
      </c>
    </row>
    <row r="245" spans="1:12" x14ac:dyDescent="0.3">
      <c r="A245" t="s">
        <v>938</v>
      </c>
      <c r="B245" t="s">
        <v>939</v>
      </c>
      <c r="C245" t="s">
        <v>940</v>
      </c>
      <c r="D245" t="s">
        <v>941</v>
      </c>
      <c r="E245" t="s">
        <v>111</v>
      </c>
      <c r="F245" t="s">
        <v>16</v>
      </c>
      <c r="G245" t="s">
        <v>73</v>
      </c>
      <c r="H245">
        <v>120</v>
      </c>
      <c r="I245">
        <v>0</v>
      </c>
      <c r="J245">
        <v>0</v>
      </c>
      <c r="K245">
        <v>32</v>
      </c>
      <c r="L245" t="s">
        <v>74</v>
      </c>
    </row>
    <row r="246" spans="1:12" x14ac:dyDescent="0.3">
      <c r="A246" t="s">
        <v>923</v>
      </c>
      <c r="B246" t="s">
        <v>924</v>
      </c>
      <c r="C246" t="s">
        <v>925</v>
      </c>
      <c r="D246" t="s">
        <v>926</v>
      </c>
      <c r="E246" t="s">
        <v>111</v>
      </c>
      <c r="F246" t="s">
        <v>52</v>
      </c>
      <c r="G246" t="s">
        <v>53</v>
      </c>
      <c r="H246">
        <v>170</v>
      </c>
      <c r="I246">
        <v>4</v>
      </c>
      <c r="J246">
        <v>0.1</v>
      </c>
      <c r="K246">
        <v>28</v>
      </c>
      <c r="L246" t="s">
        <v>26</v>
      </c>
    </row>
    <row r="247" spans="1:12" x14ac:dyDescent="0.3">
      <c r="A247" t="s">
        <v>942</v>
      </c>
      <c r="B247" t="s">
        <v>943</v>
      </c>
      <c r="C247" t="s">
        <v>575</v>
      </c>
      <c r="D247" t="s">
        <v>944</v>
      </c>
      <c r="E247" t="s">
        <v>111</v>
      </c>
      <c r="F247" t="s">
        <v>45</v>
      </c>
      <c r="G247" t="s">
        <v>79</v>
      </c>
      <c r="H247">
        <v>140</v>
      </c>
      <c r="I247">
        <v>-1</v>
      </c>
      <c r="J247">
        <v>0</v>
      </c>
      <c r="K247">
        <v>42</v>
      </c>
      <c r="L247" t="s">
        <v>18</v>
      </c>
    </row>
    <row r="248" spans="1:12" x14ac:dyDescent="0.3">
      <c r="A248" t="s">
        <v>945</v>
      </c>
      <c r="B248" t="s">
        <v>946</v>
      </c>
      <c r="C248" t="s">
        <v>947</v>
      </c>
      <c r="D248" t="s">
        <v>948</v>
      </c>
      <c r="E248" t="s">
        <v>111</v>
      </c>
      <c r="F248" t="s">
        <v>32</v>
      </c>
      <c r="G248" t="s">
        <v>84</v>
      </c>
      <c r="H248">
        <v>370</v>
      </c>
      <c r="I248">
        <v>1</v>
      </c>
      <c r="J248">
        <v>0.1</v>
      </c>
      <c r="K248">
        <v>52</v>
      </c>
      <c r="L248" t="s">
        <v>26</v>
      </c>
    </row>
    <row r="249" spans="1:12" x14ac:dyDescent="0.3">
      <c r="A249" t="s">
        <v>949</v>
      </c>
      <c r="B249" t="s">
        <v>950</v>
      </c>
      <c r="C249" t="s">
        <v>951</v>
      </c>
      <c r="D249" t="s">
        <v>952</v>
      </c>
      <c r="E249" t="s">
        <v>111</v>
      </c>
      <c r="F249" t="s">
        <v>16</v>
      </c>
      <c r="G249" t="s">
        <v>89</v>
      </c>
      <c r="H249">
        <v>270</v>
      </c>
      <c r="I249">
        <v>2</v>
      </c>
      <c r="J249">
        <v>0.05</v>
      </c>
      <c r="K249">
        <v>42</v>
      </c>
      <c r="L249" t="s">
        <v>18</v>
      </c>
    </row>
    <row r="250" spans="1:12" x14ac:dyDescent="0.3">
      <c r="A250" t="s">
        <v>953</v>
      </c>
      <c r="B250" t="s">
        <v>954</v>
      </c>
      <c r="C250" t="s">
        <v>955</v>
      </c>
      <c r="D250" t="s">
        <v>956</v>
      </c>
      <c r="E250" t="s">
        <v>111</v>
      </c>
      <c r="F250" t="s">
        <v>45</v>
      </c>
      <c r="G250" t="s">
        <v>95</v>
      </c>
      <c r="H250">
        <v>170</v>
      </c>
      <c r="I250">
        <v>1</v>
      </c>
      <c r="J250">
        <v>0</v>
      </c>
      <c r="K250">
        <v>37</v>
      </c>
      <c r="L250" t="s">
        <v>26</v>
      </c>
    </row>
    <row r="251" spans="1:12" x14ac:dyDescent="0.3">
      <c r="A251" t="s">
        <v>957</v>
      </c>
      <c r="B251" t="s">
        <v>958</v>
      </c>
      <c r="C251" t="s">
        <v>959</v>
      </c>
      <c r="D251" t="s">
        <v>960</v>
      </c>
      <c r="E251" t="s">
        <v>111</v>
      </c>
      <c r="F251" t="s">
        <v>32</v>
      </c>
      <c r="G251" t="s">
        <v>100</v>
      </c>
      <c r="H251">
        <v>220</v>
      </c>
      <c r="I251">
        <v>1</v>
      </c>
      <c r="J251">
        <v>0.1</v>
      </c>
      <c r="K251">
        <v>32</v>
      </c>
      <c r="L251" t="s">
        <v>18</v>
      </c>
    </row>
    <row r="252" spans="1:12" x14ac:dyDescent="0.3">
      <c r="A252" t="s">
        <v>961</v>
      </c>
      <c r="B252" t="s">
        <v>962</v>
      </c>
      <c r="C252" t="s">
        <v>963</v>
      </c>
      <c r="D252" t="s">
        <v>93</v>
      </c>
      <c r="E252" t="s">
        <v>111</v>
      </c>
      <c r="F252" t="s">
        <v>16</v>
      </c>
      <c r="G252" t="s">
        <v>106</v>
      </c>
      <c r="H252">
        <v>220</v>
      </c>
      <c r="I252">
        <v>1</v>
      </c>
      <c r="J252">
        <v>0</v>
      </c>
      <c r="K252">
        <v>52</v>
      </c>
      <c r="L252" t="s">
        <v>26</v>
      </c>
    </row>
    <row r="253" spans="1:12" x14ac:dyDescent="0.3">
      <c r="A253" t="s">
        <v>964</v>
      </c>
      <c r="B253" t="s">
        <v>965</v>
      </c>
      <c r="C253" t="s">
        <v>966</v>
      </c>
      <c r="D253" t="s">
        <v>967</v>
      </c>
      <c r="E253" t="s">
        <v>111</v>
      </c>
      <c r="F253" t="s">
        <v>45</v>
      </c>
      <c r="G253" t="s">
        <v>112</v>
      </c>
      <c r="H253">
        <v>72</v>
      </c>
      <c r="I253">
        <v>2</v>
      </c>
      <c r="J253">
        <v>0.1</v>
      </c>
      <c r="K253">
        <v>17</v>
      </c>
      <c r="L253" t="s">
        <v>18</v>
      </c>
    </row>
    <row r="254" spans="1:12" x14ac:dyDescent="0.3">
      <c r="A254" t="s">
        <v>968</v>
      </c>
      <c r="B254" t="s">
        <v>969</v>
      </c>
      <c r="C254" t="s">
        <v>970</v>
      </c>
      <c r="D254" t="s">
        <v>30</v>
      </c>
      <c r="E254" t="s">
        <v>111</v>
      </c>
      <c r="F254" t="s">
        <v>32</v>
      </c>
      <c r="G254" t="s">
        <v>117</v>
      </c>
      <c r="H254">
        <v>1120</v>
      </c>
      <c r="I254">
        <v>1</v>
      </c>
      <c r="J254">
        <v>0.2</v>
      </c>
      <c r="K254">
        <v>170</v>
      </c>
      <c r="L254" t="s">
        <v>26</v>
      </c>
    </row>
    <row r="255" spans="1:12" x14ac:dyDescent="0.3">
      <c r="A255" t="s">
        <v>971</v>
      </c>
      <c r="B255" t="s">
        <v>972</v>
      </c>
      <c r="C255" t="s">
        <v>973</v>
      </c>
      <c r="D255" t="s">
        <v>974</v>
      </c>
      <c r="E255" t="s">
        <v>111</v>
      </c>
      <c r="F255" t="s">
        <v>16</v>
      </c>
      <c r="G255" t="s">
        <v>123</v>
      </c>
      <c r="H255">
        <v>720</v>
      </c>
      <c r="I255">
        <v>1</v>
      </c>
      <c r="J255">
        <v>0</v>
      </c>
      <c r="K255">
        <v>100</v>
      </c>
      <c r="L255" t="s">
        <v>40</v>
      </c>
    </row>
    <row r="256" spans="1:12" x14ac:dyDescent="0.3">
      <c r="A256" t="s">
        <v>975</v>
      </c>
      <c r="B256" t="s">
        <v>976</v>
      </c>
      <c r="C256" t="s">
        <v>977</v>
      </c>
      <c r="D256" t="s">
        <v>978</v>
      </c>
      <c r="E256" t="s">
        <v>111</v>
      </c>
      <c r="F256" t="s">
        <v>45</v>
      </c>
      <c r="G256" t="s">
        <v>129</v>
      </c>
      <c r="H256">
        <v>42</v>
      </c>
      <c r="I256">
        <v>3</v>
      </c>
      <c r="J256">
        <v>0</v>
      </c>
      <c r="K256">
        <v>11</v>
      </c>
      <c r="L256" t="s">
        <v>26</v>
      </c>
    </row>
    <row r="257" spans="1:12" x14ac:dyDescent="0.3">
      <c r="A257" t="s">
        <v>979</v>
      </c>
      <c r="B257" t="s">
        <v>980</v>
      </c>
      <c r="C257" t="s">
        <v>981</v>
      </c>
      <c r="D257" t="s">
        <v>982</v>
      </c>
      <c r="E257" t="s">
        <v>111</v>
      </c>
      <c r="F257" t="s">
        <v>32</v>
      </c>
      <c r="G257" t="s">
        <v>135</v>
      </c>
      <c r="H257">
        <v>-420</v>
      </c>
      <c r="I257">
        <v>1</v>
      </c>
      <c r="J257">
        <v>0</v>
      </c>
      <c r="K257">
        <v>-32</v>
      </c>
      <c r="L257" t="s">
        <v>18</v>
      </c>
    </row>
    <row r="258" spans="1:12" x14ac:dyDescent="0.3">
      <c r="A258" t="s">
        <v>983</v>
      </c>
      <c r="B258" t="s">
        <v>984</v>
      </c>
      <c r="C258" t="s">
        <v>985</v>
      </c>
      <c r="D258" t="s">
        <v>986</v>
      </c>
      <c r="E258" t="s">
        <v>111</v>
      </c>
      <c r="F258" t="s">
        <v>16</v>
      </c>
      <c r="G258" t="s">
        <v>141</v>
      </c>
      <c r="H258">
        <v>92</v>
      </c>
      <c r="I258">
        <v>2</v>
      </c>
      <c r="J258">
        <v>0.1</v>
      </c>
      <c r="K258">
        <v>25</v>
      </c>
      <c r="L258" t="s">
        <v>26</v>
      </c>
    </row>
    <row r="259" spans="1:12" x14ac:dyDescent="0.3">
      <c r="A259" t="s">
        <v>987</v>
      </c>
      <c r="B259" t="s">
        <v>988</v>
      </c>
      <c r="C259" t="s">
        <v>989</v>
      </c>
      <c r="D259" t="s">
        <v>990</v>
      </c>
      <c r="E259" t="s">
        <v>111</v>
      </c>
      <c r="F259" t="s">
        <v>45</v>
      </c>
      <c r="G259" t="s">
        <v>146</v>
      </c>
      <c r="H259">
        <v>25</v>
      </c>
      <c r="I259">
        <v>5</v>
      </c>
      <c r="J259">
        <v>0</v>
      </c>
      <c r="K259">
        <v>11</v>
      </c>
      <c r="L259" t="s">
        <v>18</v>
      </c>
    </row>
    <row r="260" spans="1:12" x14ac:dyDescent="0.3">
      <c r="A260" t="s">
        <v>991</v>
      </c>
      <c r="B260" t="s">
        <v>992</v>
      </c>
      <c r="C260" t="s">
        <v>993</v>
      </c>
      <c r="D260" t="s">
        <v>994</v>
      </c>
      <c r="E260" t="s">
        <v>111</v>
      </c>
      <c r="F260" t="s">
        <v>32</v>
      </c>
      <c r="G260" t="s">
        <v>152</v>
      </c>
      <c r="H260">
        <v>52</v>
      </c>
      <c r="I260">
        <v>4</v>
      </c>
      <c r="J260">
        <v>0</v>
      </c>
      <c r="K260">
        <v>17</v>
      </c>
      <c r="L260" t="s">
        <v>26</v>
      </c>
    </row>
    <row r="261" spans="1:12" x14ac:dyDescent="0.3">
      <c r="A261" t="s">
        <v>995</v>
      </c>
      <c r="B261" t="s">
        <v>996</v>
      </c>
      <c r="C261" t="s">
        <v>997</v>
      </c>
      <c r="D261" t="s">
        <v>998</v>
      </c>
      <c r="E261" t="s">
        <v>111</v>
      </c>
      <c r="F261" t="s">
        <v>16</v>
      </c>
      <c r="G261" t="s">
        <v>158</v>
      </c>
      <c r="H261">
        <v>62</v>
      </c>
      <c r="I261">
        <v>2</v>
      </c>
      <c r="J261">
        <v>0</v>
      </c>
      <c r="K261">
        <v>17</v>
      </c>
      <c r="L261" t="s">
        <v>18</v>
      </c>
    </row>
    <row r="262" spans="1:12" x14ac:dyDescent="0.3">
      <c r="A262" t="s">
        <v>999</v>
      </c>
      <c r="B262" t="s">
        <v>1000</v>
      </c>
      <c r="C262" t="s">
        <v>1001</v>
      </c>
      <c r="D262" t="s">
        <v>30</v>
      </c>
      <c r="E262" t="s">
        <v>111</v>
      </c>
      <c r="F262" t="s">
        <v>45</v>
      </c>
      <c r="G262" t="s">
        <v>163</v>
      </c>
      <c r="H262">
        <v>32</v>
      </c>
      <c r="I262">
        <v>1</v>
      </c>
      <c r="J262">
        <v>0</v>
      </c>
      <c r="K262">
        <v>11</v>
      </c>
      <c r="L262" t="s">
        <v>26</v>
      </c>
    </row>
    <row r="263" spans="1:12" x14ac:dyDescent="0.3">
      <c r="A263" t="s">
        <v>1002</v>
      </c>
      <c r="B263" t="s">
        <v>1003</v>
      </c>
      <c r="C263" t="s">
        <v>1004</v>
      </c>
      <c r="D263" t="s">
        <v>1005</v>
      </c>
      <c r="E263" t="s">
        <v>111</v>
      </c>
      <c r="F263" t="s">
        <v>32</v>
      </c>
      <c r="G263" t="s">
        <v>168</v>
      </c>
      <c r="H263">
        <v>72</v>
      </c>
      <c r="I263">
        <v>2</v>
      </c>
      <c r="J263">
        <v>0.1</v>
      </c>
      <c r="K263">
        <v>17</v>
      </c>
      <c r="L263" t="s">
        <v>18</v>
      </c>
    </row>
    <row r="264" spans="1:12" x14ac:dyDescent="0.3">
      <c r="A264" t="s">
        <v>1006</v>
      </c>
      <c r="B264" t="s">
        <v>1007</v>
      </c>
      <c r="C264" t="s">
        <v>1008</v>
      </c>
      <c r="D264" t="s">
        <v>1009</v>
      </c>
      <c r="E264" t="s">
        <v>111</v>
      </c>
      <c r="F264" t="s">
        <v>16</v>
      </c>
      <c r="G264" t="s">
        <v>174</v>
      </c>
      <c r="H264">
        <v>37</v>
      </c>
      <c r="I264">
        <v>3</v>
      </c>
      <c r="J264">
        <v>0</v>
      </c>
      <c r="K264">
        <v>11</v>
      </c>
      <c r="L264" t="s">
        <v>74</v>
      </c>
    </row>
    <row r="265" spans="1:12" x14ac:dyDescent="0.3">
      <c r="A265" t="s">
        <v>1010</v>
      </c>
      <c r="B265" t="s">
        <v>1011</v>
      </c>
      <c r="C265" t="s">
        <v>1012</v>
      </c>
      <c r="D265" t="s">
        <v>121</v>
      </c>
      <c r="E265" t="s">
        <v>122</v>
      </c>
      <c r="F265" t="s">
        <v>16</v>
      </c>
      <c r="G265" t="s">
        <v>17</v>
      </c>
      <c r="H265">
        <v>1250</v>
      </c>
      <c r="I265">
        <v>1</v>
      </c>
      <c r="J265">
        <v>0.1</v>
      </c>
      <c r="K265">
        <v>162</v>
      </c>
      <c r="L265" t="s">
        <v>18</v>
      </c>
    </row>
    <row r="266" spans="1:12" x14ac:dyDescent="0.3">
      <c r="A266" t="s">
        <v>1013</v>
      </c>
      <c r="B266" t="s">
        <v>1014</v>
      </c>
      <c r="C266" t="s">
        <v>1015</v>
      </c>
      <c r="D266" t="s">
        <v>1016</v>
      </c>
      <c r="E266" t="s">
        <v>122</v>
      </c>
      <c r="F266" t="s">
        <v>24</v>
      </c>
      <c r="G266" t="s">
        <v>25</v>
      </c>
      <c r="H266">
        <v>31</v>
      </c>
      <c r="I266">
        <v>2</v>
      </c>
      <c r="J266">
        <v>0</v>
      </c>
      <c r="K266">
        <v>16</v>
      </c>
      <c r="L266" t="s">
        <v>26</v>
      </c>
    </row>
    <row r="267" spans="1:12" x14ac:dyDescent="0.3">
      <c r="A267" t="s">
        <v>1017</v>
      </c>
      <c r="B267" t="s">
        <v>1018</v>
      </c>
      <c r="C267" t="s">
        <v>1019</v>
      </c>
      <c r="D267" t="s">
        <v>30</v>
      </c>
      <c r="E267" t="s">
        <v>122</v>
      </c>
      <c r="F267" t="s">
        <v>32</v>
      </c>
      <c r="G267" t="s">
        <v>33</v>
      </c>
      <c r="H267">
        <v>-560</v>
      </c>
      <c r="I267">
        <v>1</v>
      </c>
      <c r="J267">
        <v>0</v>
      </c>
      <c r="K267">
        <v>-62</v>
      </c>
      <c r="L267" t="s">
        <v>18</v>
      </c>
    </row>
    <row r="268" spans="1:12" x14ac:dyDescent="0.3">
      <c r="A268" t="s">
        <v>1020</v>
      </c>
      <c r="B268" t="s">
        <v>1021</v>
      </c>
      <c r="C268" t="s">
        <v>1022</v>
      </c>
      <c r="D268" t="s">
        <v>1023</v>
      </c>
      <c r="E268" t="s">
        <v>122</v>
      </c>
      <c r="F268" t="s">
        <v>16</v>
      </c>
      <c r="G268" t="s">
        <v>39</v>
      </c>
      <c r="H268">
        <v>920</v>
      </c>
      <c r="I268">
        <v>1</v>
      </c>
      <c r="J268">
        <v>0.05</v>
      </c>
      <c r="K268">
        <v>122</v>
      </c>
      <c r="L268" t="s">
        <v>40</v>
      </c>
    </row>
    <row r="269" spans="1:12" x14ac:dyDescent="0.3">
      <c r="A269" t="s">
        <v>1024</v>
      </c>
      <c r="B269" t="s">
        <v>1025</v>
      </c>
      <c r="C269" t="s">
        <v>1026</v>
      </c>
      <c r="D269" t="s">
        <v>1027</v>
      </c>
      <c r="E269" t="s">
        <v>122</v>
      </c>
      <c r="F269" t="s">
        <v>45</v>
      </c>
      <c r="G269" t="s">
        <v>46</v>
      </c>
      <c r="H269">
        <v>64</v>
      </c>
      <c r="I269">
        <v>3</v>
      </c>
      <c r="J269">
        <v>0</v>
      </c>
      <c r="K269">
        <v>27</v>
      </c>
      <c r="L269" t="s">
        <v>26</v>
      </c>
    </row>
    <row r="270" spans="1:12" x14ac:dyDescent="0.3">
      <c r="A270" t="s">
        <v>1028</v>
      </c>
      <c r="B270" t="s">
        <v>1029</v>
      </c>
      <c r="C270" t="s">
        <v>1030</v>
      </c>
      <c r="D270" t="s">
        <v>1031</v>
      </c>
      <c r="E270" t="s">
        <v>122</v>
      </c>
      <c r="F270" t="s">
        <v>52</v>
      </c>
      <c r="G270" t="s">
        <v>53</v>
      </c>
      <c r="H270">
        <v>172</v>
      </c>
      <c r="I270">
        <v>4</v>
      </c>
      <c r="J270">
        <v>0.1</v>
      </c>
      <c r="K270">
        <v>30</v>
      </c>
      <c r="L270" t="s">
        <v>26</v>
      </c>
    </row>
    <row r="271" spans="1:12" x14ac:dyDescent="0.3">
      <c r="A271" t="s">
        <v>1032</v>
      </c>
      <c r="B271" t="s">
        <v>1033</v>
      </c>
      <c r="C271" t="s">
        <v>1034</v>
      </c>
      <c r="D271" t="s">
        <v>1035</v>
      </c>
      <c r="E271" t="s">
        <v>122</v>
      </c>
      <c r="F271" t="s">
        <v>16</v>
      </c>
      <c r="G271" t="s">
        <v>59</v>
      </c>
      <c r="H271">
        <v>322</v>
      </c>
      <c r="I271">
        <v>2</v>
      </c>
      <c r="J271">
        <v>0</v>
      </c>
      <c r="K271">
        <v>54</v>
      </c>
      <c r="L271" t="s">
        <v>18</v>
      </c>
    </row>
    <row r="272" spans="1:12" x14ac:dyDescent="0.3">
      <c r="A272" t="s">
        <v>1017</v>
      </c>
      <c r="B272" t="s">
        <v>1018</v>
      </c>
      <c r="C272" t="s">
        <v>1019</v>
      </c>
      <c r="D272" t="s">
        <v>30</v>
      </c>
      <c r="E272" t="s">
        <v>122</v>
      </c>
      <c r="F272" t="s">
        <v>32</v>
      </c>
      <c r="G272" t="s">
        <v>33</v>
      </c>
      <c r="H272">
        <v>-560</v>
      </c>
      <c r="I272">
        <v>1</v>
      </c>
      <c r="J272">
        <v>0</v>
      </c>
      <c r="K272">
        <v>-62</v>
      </c>
      <c r="L272" t="s">
        <v>18</v>
      </c>
    </row>
    <row r="273" spans="1:12" x14ac:dyDescent="0.3">
      <c r="A273" t="s">
        <v>1036</v>
      </c>
      <c r="B273" t="s">
        <v>1037</v>
      </c>
      <c r="C273" t="s">
        <v>1038</v>
      </c>
      <c r="D273" t="s">
        <v>30</v>
      </c>
      <c r="E273" t="s">
        <v>122</v>
      </c>
      <c r="F273" t="s">
        <v>45</v>
      </c>
      <c r="G273" t="s">
        <v>63</v>
      </c>
      <c r="H273">
        <v>92</v>
      </c>
      <c r="I273">
        <v>1</v>
      </c>
      <c r="J273">
        <v>0.2</v>
      </c>
      <c r="K273">
        <v>27</v>
      </c>
      <c r="L273" t="s">
        <v>26</v>
      </c>
    </row>
    <row r="274" spans="1:12" x14ac:dyDescent="0.3">
      <c r="A274" t="s">
        <v>1039</v>
      </c>
      <c r="B274" t="s">
        <v>1040</v>
      </c>
      <c r="C274" t="s">
        <v>1041</v>
      </c>
      <c r="D274" t="s">
        <v>1042</v>
      </c>
      <c r="E274" t="s">
        <v>122</v>
      </c>
      <c r="F274" t="s">
        <v>32</v>
      </c>
      <c r="G274" t="s">
        <v>68</v>
      </c>
      <c r="H274">
        <v>1020</v>
      </c>
      <c r="I274">
        <v>1</v>
      </c>
      <c r="J274">
        <v>0.15</v>
      </c>
      <c r="K274">
        <v>122</v>
      </c>
      <c r="L274" t="s">
        <v>18</v>
      </c>
    </row>
    <row r="275" spans="1:12" x14ac:dyDescent="0.3">
      <c r="A275" t="s">
        <v>1043</v>
      </c>
      <c r="B275" t="s">
        <v>1044</v>
      </c>
      <c r="C275" t="s">
        <v>1045</v>
      </c>
      <c r="D275" t="s">
        <v>1046</v>
      </c>
      <c r="E275" t="s">
        <v>122</v>
      </c>
      <c r="F275" t="s">
        <v>16</v>
      </c>
      <c r="G275" t="s">
        <v>73</v>
      </c>
      <c r="H275">
        <v>122</v>
      </c>
      <c r="I275">
        <v>0</v>
      </c>
      <c r="J275">
        <v>0</v>
      </c>
      <c r="K275">
        <v>34</v>
      </c>
      <c r="L275" t="s">
        <v>74</v>
      </c>
    </row>
    <row r="276" spans="1:12" x14ac:dyDescent="0.3">
      <c r="A276" t="s">
        <v>1047</v>
      </c>
      <c r="B276" t="s">
        <v>1048</v>
      </c>
      <c r="C276" t="s">
        <v>1049</v>
      </c>
      <c r="D276" t="s">
        <v>1050</v>
      </c>
      <c r="E276" t="s">
        <v>122</v>
      </c>
      <c r="F276" t="s">
        <v>45</v>
      </c>
      <c r="G276" t="s">
        <v>79</v>
      </c>
      <c r="H276">
        <v>142</v>
      </c>
      <c r="I276">
        <v>-1</v>
      </c>
      <c r="J276">
        <v>0</v>
      </c>
      <c r="K276">
        <v>44</v>
      </c>
      <c r="L276" t="s">
        <v>18</v>
      </c>
    </row>
    <row r="277" spans="1:12" x14ac:dyDescent="0.3">
      <c r="A277" t="s">
        <v>1051</v>
      </c>
      <c r="B277" t="s">
        <v>1052</v>
      </c>
      <c r="C277" t="s">
        <v>1053</v>
      </c>
      <c r="D277" t="s">
        <v>1054</v>
      </c>
      <c r="E277" t="s">
        <v>122</v>
      </c>
      <c r="F277" t="s">
        <v>32</v>
      </c>
      <c r="G277" t="s">
        <v>84</v>
      </c>
      <c r="H277">
        <v>372</v>
      </c>
      <c r="I277">
        <v>1</v>
      </c>
      <c r="J277">
        <v>0.1</v>
      </c>
      <c r="K277">
        <v>54</v>
      </c>
      <c r="L277" t="s">
        <v>26</v>
      </c>
    </row>
    <row r="278" spans="1:12" x14ac:dyDescent="0.3">
      <c r="A278" t="s">
        <v>1055</v>
      </c>
      <c r="B278" t="s">
        <v>1056</v>
      </c>
      <c r="C278" t="s">
        <v>1057</v>
      </c>
      <c r="D278" t="s">
        <v>1058</v>
      </c>
      <c r="E278" t="s">
        <v>122</v>
      </c>
      <c r="F278" t="s">
        <v>16</v>
      </c>
      <c r="G278" t="s">
        <v>89</v>
      </c>
      <c r="H278">
        <v>272</v>
      </c>
      <c r="I278">
        <v>2</v>
      </c>
      <c r="J278">
        <v>0.05</v>
      </c>
      <c r="K278">
        <v>44</v>
      </c>
      <c r="L278" t="s">
        <v>18</v>
      </c>
    </row>
    <row r="279" spans="1:12" x14ac:dyDescent="0.3">
      <c r="A279" t="s">
        <v>1059</v>
      </c>
      <c r="B279" t="s">
        <v>1060</v>
      </c>
      <c r="C279" t="s">
        <v>1061</v>
      </c>
      <c r="D279" t="s">
        <v>1062</v>
      </c>
      <c r="E279" t="s">
        <v>122</v>
      </c>
      <c r="F279" t="s">
        <v>45</v>
      </c>
      <c r="G279" t="s">
        <v>95</v>
      </c>
      <c r="H279">
        <v>172</v>
      </c>
      <c r="I279">
        <v>1</v>
      </c>
      <c r="J279">
        <v>0</v>
      </c>
      <c r="K279">
        <v>39</v>
      </c>
      <c r="L279" t="s">
        <v>26</v>
      </c>
    </row>
    <row r="280" spans="1:12" x14ac:dyDescent="0.3">
      <c r="A280" t="s">
        <v>1063</v>
      </c>
      <c r="B280" t="s">
        <v>1064</v>
      </c>
      <c r="C280" t="s">
        <v>1065</v>
      </c>
      <c r="D280" t="s">
        <v>1066</v>
      </c>
      <c r="E280" t="s">
        <v>122</v>
      </c>
      <c r="F280" t="s">
        <v>32</v>
      </c>
      <c r="G280" t="s">
        <v>100</v>
      </c>
      <c r="H280">
        <v>222</v>
      </c>
      <c r="I280">
        <v>1</v>
      </c>
      <c r="J280">
        <v>0.1</v>
      </c>
      <c r="K280">
        <v>34</v>
      </c>
      <c r="L280" t="s">
        <v>18</v>
      </c>
    </row>
    <row r="281" spans="1:12" x14ac:dyDescent="0.3">
      <c r="A281" t="s">
        <v>1067</v>
      </c>
      <c r="B281" t="s">
        <v>1068</v>
      </c>
      <c r="C281" t="s">
        <v>1069</v>
      </c>
      <c r="D281" t="s">
        <v>1070</v>
      </c>
      <c r="E281" t="s">
        <v>122</v>
      </c>
      <c r="F281" t="s">
        <v>16</v>
      </c>
      <c r="G281" t="s">
        <v>106</v>
      </c>
      <c r="H281">
        <v>222</v>
      </c>
      <c r="I281">
        <v>1</v>
      </c>
      <c r="J281">
        <v>0</v>
      </c>
      <c r="K281">
        <v>54</v>
      </c>
      <c r="L281" t="s">
        <v>26</v>
      </c>
    </row>
    <row r="282" spans="1:12" x14ac:dyDescent="0.3">
      <c r="A282" t="s">
        <v>1071</v>
      </c>
      <c r="B282" t="s">
        <v>1072</v>
      </c>
      <c r="C282" t="s">
        <v>1073</v>
      </c>
      <c r="D282" t="s">
        <v>1074</v>
      </c>
      <c r="E282" t="s">
        <v>122</v>
      </c>
      <c r="F282" t="s">
        <v>45</v>
      </c>
      <c r="G282" t="s">
        <v>112</v>
      </c>
      <c r="H282">
        <v>74</v>
      </c>
      <c r="I282">
        <v>2</v>
      </c>
      <c r="J282">
        <v>0.1</v>
      </c>
      <c r="K282">
        <v>18</v>
      </c>
      <c r="L282" t="s">
        <v>18</v>
      </c>
    </row>
    <row r="283" spans="1:12" x14ac:dyDescent="0.3">
      <c r="A283" t="s">
        <v>1075</v>
      </c>
      <c r="B283" t="s">
        <v>1076</v>
      </c>
      <c r="C283" t="s">
        <v>1077</v>
      </c>
      <c r="D283" t="s">
        <v>30</v>
      </c>
      <c r="E283" t="s">
        <v>122</v>
      </c>
      <c r="F283" t="s">
        <v>32</v>
      </c>
      <c r="G283" t="s">
        <v>117</v>
      </c>
      <c r="H283">
        <v>1140</v>
      </c>
      <c r="I283">
        <v>1</v>
      </c>
      <c r="J283">
        <v>0.2</v>
      </c>
      <c r="K283">
        <v>172</v>
      </c>
      <c r="L283" t="s">
        <v>26</v>
      </c>
    </row>
    <row r="284" spans="1:12" x14ac:dyDescent="0.3">
      <c r="A284" t="s">
        <v>1078</v>
      </c>
      <c r="B284" t="s">
        <v>1079</v>
      </c>
      <c r="C284" t="s">
        <v>1080</v>
      </c>
      <c r="D284" t="s">
        <v>1081</v>
      </c>
      <c r="E284" t="s">
        <v>122</v>
      </c>
      <c r="F284" t="s">
        <v>16</v>
      </c>
      <c r="G284" t="s">
        <v>123</v>
      </c>
      <c r="H284">
        <v>740</v>
      </c>
      <c r="I284">
        <v>1</v>
      </c>
      <c r="J284">
        <v>0</v>
      </c>
      <c r="K284">
        <v>102</v>
      </c>
      <c r="L284" t="s">
        <v>40</v>
      </c>
    </row>
    <row r="285" spans="1:12" x14ac:dyDescent="0.3">
      <c r="A285" t="s">
        <v>1082</v>
      </c>
      <c r="B285" t="s">
        <v>1083</v>
      </c>
      <c r="C285" t="s">
        <v>1084</v>
      </c>
      <c r="D285" t="s">
        <v>1085</v>
      </c>
      <c r="E285" t="s">
        <v>122</v>
      </c>
      <c r="F285" t="s">
        <v>45</v>
      </c>
      <c r="G285" t="s">
        <v>129</v>
      </c>
      <c r="H285">
        <v>44</v>
      </c>
      <c r="I285">
        <v>3</v>
      </c>
      <c r="J285">
        <v>0</v>
      </c>
      <c r="K285">
        <v>12</v>
      </c>
      <c r="L285" t="s">
        <v>26</v>
      </c>
    </row>
    <row r="286" spans="1:12" x14ac:dyDescent="0.3">
      <c r="A286" t="s">
        <v>1086</v>
      </c>
      <c r="B286" t="s">
        <v>1087</v>
      </c>
      <c r="C286" t="s">
        <v>1088</v>
      </c>
      <c r="D286" t="s">
        <v>862</v>
      </c>
      <c r="E286" t="s">
        <v>122</v>
      </c>
      <c r="F286" t="s">
        <v>32</v>
      </c>
      <c r="G286" t="s">
        <v>135</v>
      </c>
      <c r="H286">
        <v>-440</v>
      </c>
      <c r="I286">
        <v>1</v>
      </c>
      <c r="J286">
        <v>0</v>
      </c>
      <c r="K286">
        <v>-34</v>
      </c>
      <c r="L286" t="s">
        <v>18</v>
      </c>
    </row>
    <row r="287" spans="1:12" x14ac:dyDescent="0.3">
      <c r="A287" t="s">
        <v>1089</v>
      </c>
      <c r="B287" t="s">
        <v>1090</v>
      </c>
      <c r="C287" t="s">
        <v>1091</v>
      </c>
      <c r="D287" t="s">
        <v>1092</v>
      </c>
      <c r="E287" t="s">
        <v>122</v>
      </c>
      <c r="F287" t="s">
        <v>16</v>
      </c>
      <c r="G287" t="s">
        <v>141</v>
      </c>
      <c r="H287">
        <v>94</v>
      </c>
      <c r="I287">
        <v>2</v>
      </c>
      <c r="J287">
        <v>0.1</v>
      </c>
      <c r="K287">
        <v>27</v>
      </c>
      <c r="L287" t="s">
        <v>26</v>
      </c>
    </row>
    <row r="288" spans="1:12" x14ac:dyDescent="0.3">
      <c r="A288" t="s">
        <v>1093</v>
      </c>
      <c r="B288" t="s">
        <v>1094</v>
      </c>
      <c r="C288" t="s">
        <v>457</v>
      </c>
      <c r="D288" t="s">
        <v>1095</v>
      </c>
      <c r="E288" t="s">
        <v>122</v>
      </c>
      <c r="F288" t="s">
        <v>45</v>
      </c>
      <c r="G288" t="s">
        <v>146</v>
      </c>
      <c r="H288">
        <v>27</v>
      </c>
      <c r="I288">
        <v>5</v>
      </c>
      <c r="J288">
        <v>0</v>
      </c>
      <c r="K288">
        <v>12</v>
      </c>
      <c r="L288" t="s">
        <v>18</v>
      </c>
    </row>
    <row r="289" spans="1:12" x14ac:dyDescent="0.3">
      <c r="A289" t="s">
        <v>1096</v>
      </c>
      <c r="B289" t="s">
        <v>1097</v>
      </c>
      <c r="C289" t="s">
        <v>1098</v>
      </c>
      <c r="D289" t="s">
        <v>1099</v>
      </c>
      <c r="E289" t="s">
        <v>122</v>
      </c>
      <c r="F289" t="s">
        <v>32</v>
      </c>
      <c r="G289" t="s">
        <v>152</v>
      </c>
      <c r="H289">
        <v>54</v>
      </c>
      <c r="I289">
        <v>4</v>
      </c>
      <c r="J289">
        <v>0</v>
      </c>
      <c r="K289">
        <v>18</v>
      </c>
      <c r="L289" t="s">
        <v>26</v>
      </c>
    </row>
    <row r="290" spans="1:12" x14ac:dyDescent="0.3">
      <c r="A290" t="s">
        <v>1100</v>
      </c>
      <c r="B290" t="s">
        <v>1101</v>
      </c>
      <c r="C290" t="s">
        <v>1102</v>
      </c>
      <c r="D290" t="s">
        <v>1103</v>
      </c>
      <c r="E290" t="s">
        <v>122</v>
      </c>
      <c r="F290" t="s">
        <v>16</v>
      </c>
      <c r="G290" t="s">
        <v>158</v>
      </c>
      <c r="H290">
        <v>64</v>
      </c>
      <c r="I290">
        <v>2</v>
      </c>
      <c r="J290">
        <v>0</v>
      </c>
      <c r="K290">
        <v>18</v>
      </c>
      <c r="L290" t="s">
        <v>18</v>
      </c>
    </row>
    <row r="291" spans="1:12" x14ac:dyDescent="0.3">
      <c r="A291" t="s">
        <v>1104</v>
      </c>
      <c r="B291" t="s">
        <v>1105</v>
      </c>
      <c r="C291" t="s">
        <v>1106</v>
      </c>
      <c r="D291" t="s">
        <v>30</v>
      </c>
      <c r="E291" t="s">
        <v>122</v>
      </c>
      <c r="F291" t="s">
        <v>45</v>
      </c>
      <c r="G291" t="s">
        <v>163</v>
      </c>
      <c r="H291">
        <v>34</v>
      </c>
      <c r="I291">
        <v>1</v>
      </c>
      <c r="J291">
        <v>0</v>
      </c>
      <c r="K291">
        <v>12</v>
      </c>
      <c r="L291" t="s">
        <v>26</v>
      </c>
    </row>
    <row r="292" spans="1:12" x14ac:dyDescent="0.3">
      <c r="A292" t="s">
        <v>1107</v>
      </c>
      <c r="B292" t="s">
        <v>1108</v>
      </c>
      <c r="C292" t="s">
        <v>1109</v>
      </c>
      <c r="D292" t="s">
        <v>1110</v>
      </c>
      <c r="E292" t="s">
        <v>122</v>
      </c>
      <c r="F292" t="s">
        <v>32</v>
      </c>
      <c r="G292" t="s">
        <v>168</v>
      </c>
      <c r="H292">
        <v>74</v>
      </c>
      <c r="I292">
        <v>2</v>
      </c>
      <c r="J292">
        <v>0.1</v>
      </c>
      <c r="K292">
        <v>18</v>
      </c>
      <c r="L292" t="s">
        <v>18</v>
      </c>
    </row>
    <row r="293" spans="1:12" x14ac:dyDescent="0.3">
      <c r="A293" t="s">
        <v>1111</v>
      </c>
      <c r="B293" t="s">
        <v>1112</v>
      </c>
      <c r="C293" t="s">
        <v>1113</v>
      </c>
      <c r="D293" t="s">
        <v>1114</v>
      </c>
      <c r="E293" t="s">
        <v>122</v>
      </c>
      <c r="F293" t="s">
        <v>16</v>
      </c>
      <c r="G293" t="s">
        <v>174</v>
      </c>
      <c r="H293">
        <v>39</v>
      </c>
      <c r="I293">
        <v>3</v>
      </c>
      <c r="J293">
        <v>0</v>
      </c>
      <c r="K293">
        <v>12</v>
      </c>
      <c r="L293" t="s">
        <v>74</v>
      </c>
    </row>
    <row r="294" spans="1:12" x14ac:dyDescent="0.3">
      <c r="A294" t="s">
        <v>1115</v>
      </c>
      <c r="B294" t="s">
        <v>1116</v>
      </c>
      <c r="C294" t="s">
        <v>1117</v>
      </c>
      <c r="D294" t="s">
        <v>127</v>
      </c>
      <c r="E294" t="s">
        <v>128</v>
      </c>
      <c r="F294" t="s">
        <v>16</v>
      </c>
      <c r="G294" t="s">
        <v>17</v>
      </c>
      <c r="H294">
        <v>1260</v>
      </c>
      <c r="I294">
        <v>1</v>
      </c>
      <c r="J294">
        <v>0.1</v>
      </c>
      <c r="K294">
        <v>164</v>
      </c>
      <c r="L294" t="s">
        <v>18</v>
      </c>
    </row>
    <row r="295" spans="1:12" x14ac:dyDescent="0.3">
      <c r="A295" t="s">
        <v>1118</v>
      </c>
      <c r="B295" t="s">
        <v>1119</v>
      </c>
      <c r="C295" t="s">
        <v>1120</v>
      </c>
      <c r="D295" t="s">
        <v>1121</v>
      </c>
      <c r="E295" t="s">
        <v>128</v>
      </c>
      <c r="F295" t="s">
        <v>24</v>
      </c>
      <c r="G295" t="s">
        <v>25</v>
      </c>
      <c r="H295">
        <v>32</v>
      </c>
      <c r="I295">
        <v>2</v>
      </c>
      <c r="J295">
        <v>0</v>
      </c>
      <c r="K295">
        <v>17</v>
      </c>
      <c r="L295" t="s">
        <v>26</v>
      </c>
    </row>
    <row r="296" spans="1:12" x14ac:dyDescent="0.3">
      <c r="A296" t="s">
        <v>1122</v>
      </c>
      <c r="B296" t="s">
        <v>1123</v>
      </c>
      <c r="C296" t="s">
        <v>1124</v>
      </c>
      <c r="D296" t="s">
        <v>30</v>
      </c>
      <c r="E296" t="s">
        <v>128</v>
      </c>
      <c r="F296" t="s">
        <v>32</v>
      </c>
      <c r="G296" t="s">
        <v>33</v>
      </c>
      <c r="H296">
        <v>-570</v>
      </c>
      <c r="I296">
        <v>1</v>
      </c>
      <c r="J296">
        <v>0</v>
      </c>
      <c r="K296">
        <v>-64</v>
      </c>
      <c r="L296" t="s">
        <v>18</v>
      </c>
    </row>
    <row r="297" spans="1:12" x14ac:dyDescent="0.3">
      <c r="A297" t="s">
        <v>1125</v>
      </c>
      <c r="B297" t="s">
        <v>1126</v>
      </c>
      <c r="C297" t="s">
        <v>1127</v>
      </c>
      <c r="D297" t="s">
        <v>1128</v>
      </c>
      <c r="E297" t="s">
        <v>128</v>
      </c>
      <c r="F297" t="s">
        <v>16</v>
      </c>
      <c r="G297" t="s">
        <v>39</v>
      </c>
      <c r="H297">
        <v>940</v>
      </c>
      <c r="I297">
        <v>1</v>
      </c>
      <c r="J297">
        <v>0.05</v>
      </c>
      <c r="K297">
        <v>124</v>
      </c>
      <c r="L297" t="s">
        <v>40</v>
      </c>
    </row>
    <row r="298" spans="1:12" x14ac:dyDescent="0.3">
      <c r="A298" t="s">
        <v>1129</v>
      </c>
      <c r="B298" t="s">
        <v>1130</v>
      </c>
      <c r="C298" t="s">
        <v>1131</v>
      </c>
      <c r="D298" t="s">
        <v>1132</v>
      </c>
      <c r="E298" t="s">
        <v>128</v>
      </c>
      <c r="F298" t="s">
        <v>45</v>
      </c>
      <c r="G298" t="s">
        <v>46</v>
      </c>
      <c r="H298">
        <v>66</v>
      </c>
      <c r="I298">
        <v>3</v>
      </c>
      <c r="J298">
        <v>0</v>
      </c>
      <c r="K298">
        <v>29</v>
      </c>
      <c r="L298" t="s">
        <v>26</v>
      </c>
    </row>
    <row r="299" spans="1:12" x14ac:dyDescent="0.3">
      <c r="A299" t="s">
        <v>1133</v>
      </c>
      <c r="B299" t="s">
        <v>1134</v>
      </c>
      <c r="C299" t="s">
        <v>1135</v>
      </c>
      <c r="D299" t="s">
        <v>862</v>
      </c>
      <c r="E299" t="s">
        <v>128</v>
      </c>
      <c r="F299" t="s">
        <v>52</v>
      </c>
      <c r="G299" t="s">
        <v>53</v>
      </c>
      <c r="H299">
        <v>174</v>
      </c>
      <c r="I299">
        <v>4</v>
      </c>
      <c r="J299">
        <v>0.1</v>
      </c>
      <c r="K299">
        <v>32</v>
      </c>
      <c r="L299" t="s">
        <v>26</v>
      </c>
    </row>
    <row r="300" spans="1:12" x14ac:dyDescent="0.3">
      <c r="A300" t="s">
        <v>1136</v>
      </c>
      <c r="B300" t="s">
        <v>1137</v>
      </c>
      <c r="C300" t="s">
        <v>1138</v>
      </c>
      <c r="D300" t="s">
        <v>1139</v>
      </c>
      <c r="E300" t="s">
        <v>128</v>
      </c>
      <c r="F300" t="s">
        <v>16</v>
      </c>
      <c r="G300" t="s">
        <v>59</v>
      </c>
      <c r="H300">
        <v>324</v>
      </c>
      <c r="I300">
        <v>2</v>
      </c>
      <c r="J300">
        <v>0</v>
      </c>
      <c r="K300">
        <v>56</v>
      </c>
      <c r="L300" t="s">
        <v>18</v>
      </c>
    </row>
    <row r="301" spans="1:12" x14ac:dyDescent="0.3">
      <c r="A301" t="s">
        <v>1115</v>
      </c>
      <c r="B301" t="s">
        <v>1116</v>
      </c>
      <c r="C301" t="s">
        <v>1117</v>
      </c>
      <c r="D301" t="s">
        <v>127</v>
      </c>
      <c r="E301" t="s">
        <v>128</v>
      </c>
      <c r="F301" t="s">
        <v>16</v>
      </c>
      <c r="G301" t="s">
        <v>17</v>
      </c>
      <c r="H301">
        <v>1260</v>
      </c>
      <c r="I301">
        <v>1</v>
      </c>
      <c r="J301">
        <v>0.1</v>
      </c>
      <c r="K301">
        <v>164</v>
      </c>
      <c r="L301" t="s">
        <v>18</v>
      </c>
    </row>
    <row r="302" spans="1:12" x14ac:dyDescent="0.3">
      <c r="A302" t="s">
        <v>1140</v>
      </c>
      <c r="B302" t="s">
        <v>1141</v>
      </c>
      <c r="C302" t="s">
        <v>1142</v>
      </c>
      <c r="D302" t="s">
        <v>30</v>
      </c>
      <c r="E302" t="s">
        <v>128</v>
      </c>
      <c r="F302" t="s">
        <v>45</v>
      </c>
      <c r="G302" t="s">
        <v>63</v>
      </c>
      <c r="H302">
        <v>94</v>
      </c>
      <c r="I302">
        <v>1</v>
      </c>
      <c r="J302">
        <v>0.2</v>
      </c>
      <c r="K302">
        <v>29</v>
      </c>
      <c r="L302" t="s">
        <v>26</v>
      </c>
    </row>
    <row r="303" spans="1:12" x14ac:dyDescent="0.3">
      <c r="A303" t="s">
        <v>1143</v>
      </c>
      <c r="B303" t="s">
        <v>1144</v>
      </c>
      <c r="C303" t="s">
        <v>1145</v>
      </c>
      <c r="D303" t="s">
        <v>1146</v>
      </c>
      <c r="E303" t="s">
        <v>128</v>
      </c>
      <c r="F303" t="s">
        <v>32</v>
      </c>
      <c r="G303" t="s">
        <v>68</v>
      </c>
      <c r="H303">
        <v>1040</v>
      </c>
      <c r="I303">
        <v>1</v>
      </c>
      <c r="J303">
        <v>0.15</v>
      </c>
      <c r="K303">
        <v>124</v>
      </c>
      <c r="L303" t="s">
        <v>18</v>
      </c>
    </row>
    <row r="304" spans="1:12" x14ac:dyDescent="0.3">
      <c r="A304" t="s">
        <v>1147</v>
      </c>
      <c r="B304" t="s">
        <v>1148</v>
      </c>
      <c r="C304" t="s">
        <v>1149</v>
      </c>
      <c r="D304" t="s">
        <v>1150</v>
      </c>
      <c r="E304" t="s">
        <v>128</v>
      </c>
      <c r="F304" t="s">
        <v>16</v>
      </c>
      <c r="G304" t="s">
        <v>73</v>
      </c>
      <c r="H304">
        <v>124</v>
      </c>
      <c r="I304">
        <v>0</v>
      </c>
      <c r="J304">
        <v>0</v>
      </c>
      <c r="K304">
        <v>36</v>
      </c>
      <c r="L304" t="s">
        <v>74</v>
      </c>
    </row>
    <row r="305" spans="1:12" x14ac:dyDescent="0.3">
      <c r="A305" t="s">
        <v>1151</v>
      </c>
      <c r="B305" t="s">
        <v>1152</v>
      </c>
      <c r="C305" t="s">
        <v>1153</v>
      </c>
      <c r="D305" t="s">
        <v>1154</v>
      </c>
      <c r="E305" t="s">
        <v>128</v>
      </c>
      <c r="F305" t="s">
        <v>45</v>
      </c>
      <c r="G305" t="s">
        <v>79</v>
      </c>
      <c r="H305">
        <v>144</v>
      </c>
      <c r="I305">
        <v>-1</v>
      </c>
      <c r="J305">
        <v>0</v>
      </c>
      <c r="K305">
        <v>46</v>
      </c>
      <c r="L305" t="s">
        <v>18</v>
      </c>
    </row>
    <row r="306" spans="1:12" x14ac:dyDescent="0.3">
      <c r="A306" t="s">
        <v>1155</v>
      </c>
      <c r="B306" t="s">
        <v>1156</v>
      </c>
      <c r="C306" t="s">
        <v>1157</v>
      </c>
      <c r="D306" t="s">
        <v>1158</v>
      </c>
      <c r="E306" t="s">
        <v>128</v>
      </c>
      <c r="F306" t="s">
        <v>32</v>
      </c>
      <c r="G306" t="s">
        <v>84</v>
      </c>
      <c r="H306">
        <v>374</v>
      </c>
      <c r="I306">
        <v>1</v>
      </c>
      <c r="J306">
        <v>0.1</v>
      </c>
      <c r="K306">
        <v>56</v>
      </c>
      <c r="L306" t="s">
        <v>26</v>
      </c>
    </row>
    <row r="307" spans="1:12" x14ac:dyDescent="0.3">
      <c r="A307" t="s">
        <v>1159</v>
      </c>
      <c r="B307" t="s">
        <v>1160</v>
      </c>
      <c r="C307" t="s">
        <v>1161</v>
      </c>
      <c r="D307" t="s">
        <v>1162</v>
      </c>
      <c r="E307" t="s">
        <v>128</v>
      </c>
      <c r="F307" t="s">
        <v>16</v>
      </c>
      <c r="G307" t="s">
        <v>89</v>
      </c>
      <c r="H307">
        <v>274</v>
      </c>
      <c r="I307">
        <v>2</v>
      </c>
      <c r="J307">
        <v>0.05</v>
      </c>
      <c r="K307">
        <v>46</v>
      </c>
      <c r="L307" t="s">
        <v>18</v>
      </c>
    </row>
    <row r="308" spans="1:12" x14ac:dyDescent="0.3">
      <c r="A308" t="s">
        <v>1163</v>
      </c>
      <c r="B308" t="s">
        <v>1164</v>
      </c>
      <c r="C308" t="s">
        <v>1165</v>
      </c>
      <c r="D308" t="s">
        <v>1166</v>
      </c>
      <c r="E308" t="s">
        <v>128</v>
      </c>
      <c r="F308" t="s">
        <v>45</v>
      </c>
      <c r="G308" t="s">
        <v>95</v>
      </c>
      <c r="H308">
        <v>174</v>
      </c>
      <c r="I308">
        <v>1</v>
      </c>
      <c r="J308">
        <v>0</v>
      </c>
      <c r="K308">
        <v>41</v>
      </c>
      <c r="L308" t="s">
        <v>26</v>
      </c>
    </row>
    <row r="309" spans="1:12" x14ac:dyDescent="0.3">
      <c r="A309" t="s">
        <v>1167</v>
      </c>
      <c r="B309" t="s">
        <v>1168</v>
      </c>
      <c r="C309" t="s">
        <v>1169</v>
      </c>
      <c r="D309" t="s">
        <v>1170</v>
      </c>
      <c r="E309" t="s">
        <v>128</v>
      </c>
      <c r="F309" t="s">
        <v>32</v>
      </c>
      <c r="G309" t="s">
        <v>100</v>
      </c>
      <c r="H309">
        <v>224</v>
      </c>
      <c r="I309">
        <v>1</v>
      </c>
      <c r="J309">
        <v>0.1</v>
      </c>
      <c r="K309">
        <v>36</v>
      </c>
      <c r="L309" t="s">
        <v>18</v>
      </c>
    </row>
    <row r="310" spans="1:12" x14ac:dyDescent="0.3">
      <c r="A310" t="s">
        <v>1171</v>
      </c>
      <c r="B310" t="s">
        <v>1172</v>
      </c>
      <c r="C310" t="s">
        <v>1173</v>
      </c>
      <c r="D310" t="s">
        <v>1174</v>
      </c>
      <c r="E310" t="s">
        <v>128</v>
      </c>
      <c r="F310" t="s">
        <v>16</v>
      </c>
      <c r="G310" t="s">
        <v>106</v>
      </c>
      <c r="H310">
        <v>224</v>
      </c>
      <c r="I310">
        <v>1</v>
      </c>
      <c r="J310">
        <v>0</v>
      </c>
      <c r="K310">
        <v>56</v>
      </c>
      <c r="L310" t="s">
        <v>26</v>
      </c>
    </row>
    <row r="311" spans="1:12" x14ac:dyDescent="0.3">
      <c r="A311" t="s">
        <v>1175</v>
      </c>
      <c r="B311" t="s">
        <v>1176</v>
      </c>
      <c r="C311" t="s">
        <v>1177</v>
      </c>
      <c r="D311" t="s">
        <v>1178</v>
      </c>
      <c r="E311" t="s">
        <v>128</v>
      </c>
      <c r="F311" t="s">
        <v>45</v>
      </c>
      <c r="G311" t="s">
        <v>112</v>
      </c>
      <c r="H311">
        <v>76</v>
      </c>
      <c r="I311">
        <v>2</v>
      </c>
      <c r="J311">
        <v>0.1</v>
      </c>
      <c r="K311">
        <v>19</v>
      </c>
      <c r="L311" t="s">
        <v>18</v>
      </c>
    </row>
    <row r="312" spans="1:12" x14ac:dyDescent="0.3">
      <c r="A312" t="s">
        <v>1179</v>
      </c>
      <c r="B312" t="s">
        <v>1180</v>
      </c>
      <c r="C312" t="s">
        <v>1181</v>
      </c>
      <c r="D312" t="s">
        <v>30</v>
      </c>
      <c r="E312" t="s">
        <v>128</v>
      </c>
      <c r="F312" t="s">
        <v>32</v>
      </c>
      <c r="G312" t="s">
        <v>117</v>
      </c>
      <c r="H312">
        <v>1160</v>
      </c>
      <c r="I312">
        <v>1</v>
      </c>
      <c r="J312">
        <v>0.2</v>
      </c>
      <c r="K312">
        <v>174</v>
      </c>
      <c r="L312" t="s">
        <v>26</v>
      </c>
    </row>
    <row r="313" spans="1:12" x14ac:dyDescent="0.3">
      <c r="A313" t="s">
        <v>1182</v>
      </c>
      <c r="B313" t="s">
        <v>1183</v>
      </c>
      <c r="C313" t="s">
        <v>1184</v>
      </c>
      <c r="D313" t="s">
        <v>1185</v>
      </c>
      <c r="E313" t="s">
        <v>128</v>
      </c>
      <c r="F313" t="s">
        <v>16</v>
      </c>
      <c r="G313" t="s">
        <v>123</v>
      </c>
      <c r="H313">
        <v>760</v>
      </c>
      <c r="I313">
        <v>1</v>
      </c>
      <c r="J313">
        <v>0</v>
      </c>
      <c r="K313">
        <v>104</v>
      </c>
      <c r="L313" t="s">
        <v>40</v>
      </c>
    </row>
    <row r="314" spans="1:12" x14ac:dyDescent="0.3">
      <c r="A314" t="s">
        <v>1186</v>
      </c>
      <c r="B314" t="s">
        <v>1187</v>
      </c>
      <c r="C314" t="s">
        <v>1188</v>
      </c>
      <c r="D314" t="s">
        <v>1189</v>
      </c>
      <c r="E314" t="s">
        <v>128</v>
      </c>
      <c r="F314" t="s">
        <v>45</v>
      </c>
      <c r="G314" t="s">
        <v>129</v>
      </c>
      <c r="H314">
        <v>46</v>
      </c>
      <c r="I314">
        <v>3</v>
      </c>
      <c r="J314">
        <v>0</v>
      </c>
      <c r="K314">
        <v>13</v>
      </c>
      <c r="L314" t="s">
        <v>26</v>
      </c>
    </row>
    <row r="315" spans="1:12" x14ac:dyDescent="0.3">
      <c r="A315" t="s">
        <v>1190</v>
      </c>
      <c r="B315" t="s">
        <v>1191</v>
      </c>
      <c r="C315" t="s">
        <v>1192</v>
      </c>
      <c r="D315" t="s">
        <v>1193</v>
      </c>
      <c r="E315" t="s">
        <v>128</v>
      </c>
      <c r="F315" t="s">
        <v>32</v>
      </c>
      <c r="G315" t="s">
        <v>135</v>
      </c>
      <c r="H315">
        <v>-460</v>
      </c>
      <c r="I315">
        <v>1</v>
      </c>
      <c r="J315">
        <v>0</v>
      </c>
      <c r="K315">
        <v>-36</v>
      </c>
      <c r="L315" t="s">
        <v>18</v>
      </c>
    </row>
    <row r="316" spans="1:12" x14ac:dyDescent="0.3">
      <c r="A316" t="s">
        <v>1194</v>
      </c>
      <c r="B316" t="s">
        <v>1195</v>
      </c>
      <c r="C316" t="s">
        <v>1196</v>
      </c>
      <c r="D316" t="s">
        <v>1197</v>
      </c>
      <c r="E316" t="s">
        <v>128</v>
      </c>
      <c r="F316" t="s">
        <v>16</v>
      </c>
      <c r="G316" t="s">
        <v>141</v>
      </c>
      <c r="H316">
        <v>96</v>
      </c>
      <c r="I316">
        <v>2</v>
      </c>
      <c r="J316">
        <v>0.1</v>
      </c>
      <c r="K316">
        <v>29</v>
      </c>
      <c r="L316" t="s">
        <v>26</v>
      </c>
    </row>
    <row r="317" spans="1:12" x14ac:dyDescent="0.3">
      <c r="A317" t="s">
        <v>1198</v>
      </c>
      <c r="B317" t="s">
        <v>1199</v>
      </c>
      <c r="C317" t="s">
        <v>1200</v>
      </c>
      <c r="D317" t="s">
        <v>1201</v>
      </c>
      <c r="E317" t="s">
        <v>128</v>
      </c>
      <c r="F317" t="s">
        <v>45</v>
      </c>
      <c r="G317" t="s">
        <v>146</v>
      </c>
      <c r="H317">
        <v>29</v>
      </c>
      <c r="I317">
        <v>5</v>
      </c>
      <c r="J317">
        <v>0</v>
      </c>
      <c r="K317">
        <v>13</v>
      </c>
      <c r="L317" t="s">
        <v>18</v>
      </c>
    </row>
    <row r="318" spans="1:12" x14ac:dyDescent="0.3">
      <c r="A318" t="s">
        <v>1202</v>
      </c>
      <c r="B318" t="s">
        <v>1203</v>
      </c>
      <c r="C318" t="s">
        <v>1204</v>
      </c>
      <c r="D318" t="s">
        <v>1205</v>
      </c>
      <c r="E318" t="s">
        <v>128</v>
      </c>
      <c r="F318" t="s">
        <v>32</v>
      </c>
      <c r="G318" t="s">
        <v>152</v>
      </c>
      <c r="H318">
        <v>56</v>
      </c>
      <c r="I318">
        <v>4</v>
      </c>
      <c r="J318">
        <v>0</v>
      </c>
      <c r="K318">
        <v>19</v>
      </c>
      <c r="L318" t="s">
        <v>26</v>
      </c>
    </row>
    <row r="319" spans="1:12" x14ac:dyDescent="0.3">
      <c r="A319" t="s">
        <v>1206</v>
      </c>
      <c r="B319" t="s">
        <v>1207</v>
      </c>
      <c r="C319" t="s">
        <v>1208</v>
      </c>
      <c r="D319" t="s">
        <v>1209</v>
      </c>
      <c r="E319" t="s">
        <v>128</v>
      </c>
      <c r="F319" t="s">
        <v>16</v>
      </c>
      <c r="G319" t="s">
        <v>158</v>
      </c>
      <c r="H319">
        <v>66</v>
      </c>
      <c r="I319">
        <v>2</v>
      </c>
      <c r="J319">
        <v>0</v>
      </c>
      <c r="K319">
        <v>19</v>
      </c>
      <c r="L319" t="s">
        <v>18</v>
      </c>
    </row>
    <row r="320" spans="1:12" x14ac:dyDescent="0.3">
      <c r="A320" t="s">
        <v>1210</v>
      </c>
      <c r="B320" t="s">
        <v>1211</v>
      </c>
      <c r="C320" t="s">
        <v>1212</v>
      </c>
      <c r="D320" t="s">
        <v>30</v>
      </c>
      <c r="E320" t="s">
        <v>128</v>
      </c>
      <c r="F320" t="s">
        <v>45</v>
      </c>
      <c r="G320" t="s">
        <v>163</v>
      </c>
      <c r="H320">
        <v>36</v>
      </c>
      <c r="I320">
        <v>1</v>
      </c>
      <c r="J320">
        <v>0</v>
      </c>
      <c r="K320">
        <v>13</v>
      </c>
      <c r="L320" t="s">
        <v>26</v>
      </c>
    </row>
    <row r="321" spans="1:12" x14ac:dyDescent="0.3">
      <c r="A321" t="s">
        <v>1213</v>
      </c>
      <c r="B321" t="s">
        <v>1214</v>
      </c>
      <c r="C321" t="s">
        <v>1215</v>
      </c>
      <c r="D321" t="s">
        <v>1216</v>
      </c>
      <c r="E321" t="s">
        <v>128</v>
      </c>
      <c r="F321" t="s">
        <v>32</v>
      </c>
      <c r="G321" t="s">
        <v>168</v>
      </c>
      <c r="H321">
        <v>76</v>
      </c>
      <c r="I321">
        <v>2</v>
      </c>
      <c r="J321">
        <v>0.1</v>
      </c>
      <c r="K321">
        <v>19</v>
      </c>
      <c r="L321" t="s">
        <v>18</v>
      </c>
    </row>
    <row r="322" spans="1:12" x14ac:dyDescent="0.3">
      <c r="A322" t="s">
        <v>1217</v>
      </c>
      <c r="B322" t="s">
        <v>1218</v>
      </c>
      <c r="C322" t="s">
        <v>278</v>
      </c>
      <c r="D322" t="s">
        <v>1219</v>
      </c>
      <c r="E322" t="s">
        <v>128</v>
      </c>
      <c r="F322" t="s">
        <v>16</v>
      </c>
      <c r="G322" t="s">
        <v>174</v>
      </c>
      <c r="H322">
        <v>41</v>
      </c>
      <c r="I322">
        <v>3</v>
      </c>
      <c r="J322">
        <v>0</v>
      </c>
      <c r="K322">
        <v>13</v>
      </c>
      <c r="L322" t="s">
        <v>74</v>
      </c>
    </row>
    <row r="323" spans="1:12" x14ac:dyDescent="0.3">
      <c r="A323" t="s">
        <v>1210</v>
      </c>
      <c r="B323" t="s">
        <v>1211</v>
      </c>
      <c r="C323" t="s">
        <v>1212</v>
      </c>
      <c r="D323" t="s">
        <v>30</v>
      </c>
      <c r="E323" t="s">
        <v>128</v>
      </c>
      <c r="F323" t="s">
        <v>45</v>
      </c>
      <c r="G323" t="s">
        <v>163</v>
      </c>
      <c r="H323">
        <v>36</v>
      </c>
      <c r="I323">
        <v>1</v>
      </c>
      <c r="J323">
        <v>0</v>
      </c>
      <c r="K323">
        <v>13</v>
      </c>
      <c r="L323" t="s">
        <v>26</v>
      </c>
    </row>
    <row r="324" spans="1:12" x14ac:dyDescent="0.3">
      <c r="A324" t="s">
        <v>1220</v>
      </c>
      <c r="B324" t="s">
        <v>1221</v>
      </c>
      <c r="C324" t="s">
        <v>1222</v>
      </c>
      <c r="D324" t="s">
        <v>133</v>
      </c>
      <c r="E324" t="s">
        <v>134</v>
      </c>
      <c r="F324" t="s">
        <v>16</v>
      </c>
      <c r="G324" t="s">
        <v>17</v>
      </c>
      <c r="H324">
        <v>1270</v>
      </c>
      <c r="I324">
        <v>1</v>
      </c>
      <c r="J324">
        <v>0.1</v>
      </c>
      <c r="K324">
        <v>166</v>
      </c>
      <c r="L324" t="s">
        <v>18</v>
      </c>
    </row>
    <row r="325" spans="1:12" x14ac:dyDescent="0.3">
      <c r="A325" t="s">
        <v>1223</v>
      </c>
      <c r="B325" t="s">
        <v>1224</v>
      </c>
      <c r="C325" t="s">
        <v>1225</v>
      </c>
      <c r="D325" t="s">
        <v>1226</v>
      </c>
      <c r="E325" t="s">
        <v>134</v>
      </c>
      <c r="F325" t="s">
        <v>24</v>
      </c>
      <c r="G325" t="s">
        <v>25</v>
      </c>
      <c r="H325">
        <v>33</v>
      </c>
      <c r="I325">
        <v>2</v>
      </c>
      <c r="J325">
        <v>0</v>
      </c>
      <c r="K325">
        <v>18</v>
      </c>
      <c r="L325" t="s">
        <v>26</v>
      </c>
    </row>
    <row r="326" spans="1:12" x14ac:dyDescent="0.3">
      <c r="A326" t="s">
        <v>1227</v>
      </c>
      <c r="B326" t="s">
        <v>1228</v>
      </c>
      <c r="C326" t="s">
        <v>1229</v>
      </c>
      <c r="D326" t="s">
        <v>30</v>
      </c>
      <c r="E326" t="s">
        <v>134</v>
      </c>
      <c r="F326" t="s">
        <v>32</v>
      </c>
      <c r="G326" t="s">
        <v>33</v>
      </c>
      <c r="H326">
        <v>-580</v>
      </c>
      <c r="I326">
        <v>1</v>
      </c>
      <c r="J326">
        <v>0</v>
      </c>
      <c r="K326">
        <v>-66</v>
      </c>
      <c r="L326" t="s">
        <v>18</v>
      </c>
    </row>
    <row r="327" spans="1:12" x14ac:dyDescent="0.3">
      <c r="A327" t="s">
        <v>1230</v>
      </c>
      <c r="B327" t="s">
        <v>1231</v>
      </c>
      <c r="C327" t="s">
        <v>1232</v>
      </c>
      <c r="D327" t="s">
        <v>133</v>
      </c>
      <c r="E327" t="s">
        <v>134</v>
      </c>
      <c r="F327" t="s">
        <v>16</v>
      </c>
      <c r="G327" t="s">
        <v>39</v>
      </c>
      <c r="H327">
        <v>960</v>
      </c>
      <c r="I327">
        <v>1</v>
      </c>
      <c r="J327">
        <v>0.05</v>
      </c>
      <c r="K327">
        <v>126</v>
      </c>
      <c r="L327" t="s">
        <v>40</v>
      </c>
    </row>
    <row r="328" spans="1:12" x14ac:dyDescent="0.3">
      <c r="A328" t="s">
        <v>1233</v>
      </c>
      <c r="B328" t="s">
        <v>1234</v>
      </c>
      <c r="C328" t="s">
        <v>1235</v>
      </c>
      <c r="D328" t="s">
        <v>133</v>
      </c>
      <c r="E328" t="s">
        <v>134</v>
      </c>
      <c r="F328" t="s">
        <v>45</v>
      </c>
      <c r="G328" t="s">
        <v>46</v>
      </c>
      <c r="H328">
        <v>68</v>
      </c>
      <c r="I328">
        <v>3</v>
      </c>
      <c r="J328">
        <v>0</v>
      </c>
      <c r="K328">
        <v>31</v>
      </c>
      <c r="L328" t="s">
        <v>26</v>
      </c>
    </row>
    <row r="329" spans="1:12" x14ac:dyDescent="0.3">
      <c r="A329" t="s">
        <v>1236</v>
      </c>
      <c r="B329" t="s">
        <v>1237</v>
      </c>
      <c r="C329" t="s">
        <v>1238</v>
      </c>
      <c r="D329" t="s">
        <v>133</v>
      </c>
      <c r="E329" t="s">
        <v>134</v>
      </c>
      <c r="F329" t="s">
        <v>52</v>
      </c>
      <c r="G329" t="s">
        <v>53</v>
      </c>
      <c r="H329">
        <v>176</v>
      </c>
      <c r="I329">
        <v>4</v>
      </c>
      <c r="J329">
        <v>0.1</v>
      </c>
      <c r="K329">
        <v>34</v>
      </c>
      <c r="L329" t="s">
        <v>26</v>
      </c>
    </row>
    <row r="330" spans="1:12" x14ac:dyDescent="0.3">
      <c r="A330" t="s">
        <v>1239</v>
      </c>
      <c r="B330" t="s">
        <v>1240</v>
      </c>
      <c r="C330" t="s">
        <v>1241</v>
      </c>
      <c r="D330" t="s">
        <v>133</v>
      </c>
      <c r="E330" t="s">
        <v>134</v>
      </c>
      <c r="F330" t="s">
        <v>16</v>
      </c>
      <c r="G330" t="s">
        <v>59</v>
      </c>
      <c r="H330">
        <v>326</v>
      </c>
      <c r="I330">
        <v>2</v>
      </c>
      <c r="J330">
        <v>0</v>
      </c>
      <c r="K330">
        <v>58</v>
      </c>
      <c r="L330" t="s">
        <v>18</v>
      </c>
    </row>
    <row r="331" spans="1:12" x14ac:dyDescent="0.3">
      <c r="A331" t="s">
        <v>1242</v>
      </c>
      <c r="B331" t="s">
        <v>1243</v>
      </c>
      <c r="C331" t="s">
        <v>1244</v>
      </c>
      <c r="D331" t="s">
        <v>30</v>
      </c>
      <c r="E331" t="s">
        <v>134</v>
      </c>
      <c r="F331" t="s">
        <v>45</v>
      </c>
      <c r="G331" t="s">
        <v>63</v>
      </c>
      <c r="H331">
        <v>96</v>
      </c>
      <c r="I331">
        <v>1</v>
      </c>
      <c r="J331">
        <v>0.2</v>
      </c>
      <c r="K331">
        <v>31</v>
      </c>
      <c r="L331" t="s">
        <v>26</v>
      </c>
    </row>
    <row r="332" spans="1:12" x14ac:dyDescent="0.3">
      <c r="A332" t="s">
        <v>1245</v>
      </c>
      <c r="B332" t="s">
        <v>1246</v>
      </c>
      <c r="C332" t="s">
        <v>1247</v>
      </c>
      <c r="D332" t="s">
        <v>133</v>
      </c>
      <c r="E332" t="s">
        <v>134</v>
      </c>
      <c r="F332" t="s">
        <v>32</v>
      </c>
      <c r="G332" t="s">
        <v>68</v>
      </c>
      <c r="H332">
        <v>1060</v>
      </c>
      <c r="I332">
        <v>1</v>
      </c>
      <c r="J332">
        <v>0.15</v>
      </c>
      <c r="K332">
        <v>126</v>
      </c>
      <c r="L332" t="s">
        <v>18</v>
      </c>
    </row>
    <row r="333" spans="1:12" x14ac:dyDescent="0.3">
      <c r="A333" t="s">
        <v>1248</v>
      </c>
      <c r="B333" t="s">
        <v>1249</v>
      </c>
      <c r="C333" t="s">
        <v>1250</v>
      </c>
      <c r="D333" t="s">
        <v>133</v>
      </c>
      <c r="E333" t="s">
        <v>134</v>
      </c>
      <c r="F333" t="s">
        <v>16</v>
      </c>
      <c r="G333" t="s">
        <v>73</v>
      </c>
      <c r="H333">
        <v>126</v>
      </c>
      <c r="I333">
        <v>0</v>
      </c>
      <c r="J333">
        <v>0</v>
      </c>
      <c r="K333">
        <v>38</v>
      </c>
      <c r="L333" t="s">
        <v>74</v>
      </c>
    </row>
    <row r="334" spans="1:12" x14ac:dyDescent="0.3">
      <c r="A334" t="s">
        <v>1251</v>
      </c>
      <c r="B334" t="s">
        <v>1252</v>
      </c>
      <c r="C334" t="s">
        <v>1253</v>
      </c>
      <c r="D334" t="s">
        <v>133</v>
      </c>
      <c r="E334" t="s">
        <v>134</v>
      </c>
      <c r="F334" t="s">
        <v>45</v>
      </c>
      <c r="G334" t="s">
        <v>79</v>
      </c>
      <c r="H334">
        <v>146</v>
      </c>
      <c r="I334">
        <v>-1</v>
      </c>
      <c r="J334">
        <v>0</v>
      </c>
      <c r="K334">
        <v>48</v>
      </c>
      <c r="L334" t="s">
        <v>18</v>
      </c>
    </row>
    <row r="335" spans="1:12" x14ac:dyDescent="0.3">
      <c r="A335" t="s">
        <v>1254</v>
      </c>
      <c r="B335" t="s">
        <v>1255</v>
      </c>
      <c r="C335" t="s">
        <v>1256</v>
      </c>
      <c r="D335" t="s">
        <v>133</v>
      </c>
      <c r="E335" t="s">
        <v>134</v>
      </c>
      <c r="F335" t="s">
        <v>32</v>
      </c>
      <c r="G335" t="s">
        <v>84</v>
      </c>
      <c r="H335">
        <v>376</v>
      </c>
      <c r="I335">
        <v>1</v>
      </c>
      <c r="J335">
        <v>0.1</v>
      </c>
      <c r="K335">
        <v>58</v>
      </c>
      <c r="L335" t="s">
        <v>26</v>
      </c>
    </row>
    <row r="336" spans="1:12" x14ac:dyDescent="0.3">
      <c r="A336" t="s">
        <v>1257</v>
      </c>
      <c r="B336" t="s">
        <v>1258</v>
      </c>
      <c r="C336" t="s">
        <v>1259</v>
      </c>
      <c r="D336" t="s">
        <v>133</v>
      </c>
      <c r="E336" t="s">
        <v>134</v>
      </c>
      <c r="F336" t="s">
        <v>16</v>
      </c>
      <c r="G336" t="s">
        <v>89</v>
      </c>
      <c r="H336">
        <v>276</v>
      </c>
      <c r="I336">
        <v>2</v>
      </c>
      <c r="J336">
        <v>0.05</v>
      </c>
      <c r="K336">
        <v>48</v>
      </c>
      <c r="L336" t="s">
        <v>18</v>
      </c>
    </row>
    <row r="337" spans="1:12" x14ac:dyDescent="0.3">
      <c r="A337" t="s">
        <v>1260</v>
      </c>
      <c r="B337" t="s">
        <v>1261</v>
      </c>
      <c r="C337" t="s">
        <v>1262</v>
      </c>
      <c r="D337" t="s">
        <v>133</v>
      </c>
      <c r="E337" t="s">
        <v>134</v>
      </c>
      <c r="F337" t="s">
        <v>45</v>
      </c>
      <c r="G337" t="s">
        <v>95</v>
      </c>
      <c r="H337">
        <v>176</v>
      </c>
      <c r="I337">
        <v>1</v>
      </c>
      <c r="J337">
        <v>0</v>
      </c>
      <c r="K337">
        <v>43</v>
      </c>
      <c r="L337" t="s">
        <v>26</v>
      </c>
    </row>
    <row r="338" spans="1:12" x14ac:dyDescent="0.3">
      <c r="A338" t="s">
        <v>1263</v>
      </c>
      <c r="B338" t="s">
        <v>1264</v>
      </c>
      <c r="C338" t="s">
        <v>1265</v>
      </c>
      <c r="D338" t="s">
        <v>133</v>
      </c>
      <c r="E338" t="s">
        <v>134</v>
      </c>
      <c r="F338" t="s">
        <v>32</v>
      </c>
      <c r="G338" t="s">
        <v>100</v>
      </c>
      <c r="H338">
        <v>226</v>
      </c>
      <c r="I338">
        <v>1</v>
      </c>
      <c r="J338">
        <v>0.1</v>
      </c>
      <c r="K338">
        <v>38</v>
      </c>
      <c r="L338" t="s">
        <v>18</v>
      </c>
    </row>
    <row r="339" spans="1:12" x14ac:dyDescent="0.3">
      <c r="A339" t="s">
        <v>1266</v>
      </c>
      <c r="B339" t="s">
        <v>1267</v>
      </c>
      <c r="C339" t="s">
        <v>1268</v>
      </c>
      <c r="D339" t="s">
        <v>133</v>
      </c>
      <c r="E339" t="s">
        <v>134</v>
      </c>
      <c r="F339" t="s">
        <v>16</v>
      </c>
      <c r="G339" t="s">
        <v>106</v>
      </c>
      <c r="H339">
        <v>226</v>
      </c>
      <c r="I339">
        <v>1</v>
      </c>
      <c r="J339">
        <v>0</v>
      </c>
      <c r="K339">
        <v>58</v>
      </c>
      <c r="L339" t="s">
        <v>26</v>
      </c>
    </row>
    <row r="340" spans="1:12" x14ac:dyDescent="0.3">
      <c r="A340" t="s">
        <v>1269</v>
      </c>
      <c r="B340" t="s">
        <v>1270</v>
      </c>
      <c r="C340" t="s">
        <v>1271</v>
      </c>
      <c r="D340" t="s">
        <v>133</v>
      </c>
      <c r="E340" t="s">
        <v>134</v>
      </c>
      <c r="F340" t="s">
        <v>45</v>
      </c>
      <c r="G340" t="s">
        <v>112</v>
      </c>
      <c r="H340">
        <v>78</v>
      </c>
      <c r="I340">
        <v>2</v>
      </c>
      <c r="J340">
        <v>0.1</v>
      </c>
      <c r="K340">
        <v>20</v>
      </c>
      <c r="L340" t="s">
        <v>18</v>
      </c>
    </row>
    <row r="341" spans="1:12" x14ac:dyDescent="0.3">
      <c r="A341" t="s">
        <v>1272</v>
      </c>
      <c r="B341" t="s">
        <v>1273</v>
      </c>
      <c r="C341" t="s">
        <v>1274</v>
      </c>
      <c r="D341" t="s">
        <v>30</v>
      </c>
      <c r="E341" t="s">
        <v>134</v>
      </c>
      <c r="F341" t="s">
        <v>32</v>
      </c>
      <c r="G341" t="s">
        <v>117</v>
      </c>
      <c r="H341">
        <v>1180</v>
      </c>
      <c r="I341">
        <v>1</v>
      </c>
      <c r="J341">
        <v>0.2</v>
      </c>
      <c r="K341">
        <v>176</v>
      </c>
      <c r="L341" t="s">
        <v>26</v>
      </c>
    </row>
    <row r="342" spans="1:12" x14ac:dyDescent="0.3">
      <c r="A342" t="s">
        <v>1275</v>
      </c>
      <c r="B342" t="s">
        <v>1276</v>
      </c>
      <c r="C342" t="s">
        <v>664</v>
      </c>
      <c r="D342" t="s">
        <v>133</v>
      </c>
      <c r="E342" t="s">
        <v>134</v>
      </c>
      <c r="F342" t="s">
        <v>16</v>
      </c>
      <c r="G342" t="s">
        <v>123</v>
      </c>
      <c r="H342">
        <v>780</v>
      </c>
      <c r="I342">
        <v>1</v>
      </c>
      <c r="J342">
        <v>0</v>
      </c>
      <c r="K342">
        <v>106</v>
      </c>
      <c r="L342" t="s">
        <v>40</v>
      </c>
    </row>
    <row r="343" spans="1:12" x14ac:dyDescent="0.3">
      <c r="A343" t="s">
        <v>1277</v>
      </c>
      <c r="B343" t="s">
        <v>1278</v>
      </c>
      <c r="C343" t="s">
        <v>668</v>
      </c>
      <c r="D343" t="s">
        <v>133</v>
      </c>
      <c r="E343" t="s">
        <v>134</v>
      </c>
      <c r="F343" t="s">
        <v>45</v>
      </c>
      <c r="G343" t="s">
        <v>129</v>
      </c>
      <c r="H343">
        <v>48</v>
      </c>
      <c r="I343">
        <v>3</v>
      </c>
      <c r="J343">
        <v>0</v>
      </c>
      <c r="K343">
        <v>14</v>
      </c>
      <c r="L343" t="s">
        <v>26</v>
      </c>
    </row>
    <row r="344" spans="1:12" x14ac:dyDescent="0.3">
      <c r="A344" t="s">
        <v>1279</v>
      </c>
      <c r="B344" t="s">
        <v>1280</v>
      </c>
      <c r="C344" t="s">
        <v>1281</v>
      </c>
      <c r="D344" t="s">
        <v>133</v>
      </c>
      <c r="E344" t="s">
        <v>134</v>
      </c>
      <c r="F344" t="s">
        <v>32</v>
      </c>
      <c r="G344" t="s">
        <v>135</v>
      </c>
      <c r="H344">
        <v>-480</v>
      </c>
      <c r="I344">
        <v>1</v>
      </c>
      <c r="J344">
        <v>0</v>
      </c>
      <c r="K344">
        <v>-38</v>
      </c>
      <c r="L344" t="s">
        <v>18</v>
      </c>
    </row>
    <row r="345" spans="1:12" x14ac:dyDescent="0.3">
      <c r="A345" t="s">
        <v>1257</v>
      </c>
      <c r="B345" t="s">
        <v>1258</v>
      </c>
      <c r="C345" t="s">
        <v>1259</v>
      </c>
      <c r="D345" t="s">
        <v>133</v>
      </c>
      <c r="E345" t="s">
        <v>134</v>
      </c>
      <c r="F345" t="s">
        <v>16</v>
      </c>
      <c r="G345" t="s">
        <v>89</v>
      </c>
      <c r="H345">
        <v>276</v>
      </c>
      <c r="I345">
        <v>2</v>
      </c>
      <c r="J345">
        <v>0.05</v>
      </c>
      <c r="K345">
        <v>48</v>
      </c>
      <c r="L345" t="s">
        <v>18</v>
      </c>
    </row>
    <row r="346" spans="1:12" x14ac:dyDescent="0.3">
      <c r="A346" t="s">
        <v>1282</v>
      </c>
      <c r="B346" t="s">
        <v>1283</v>
      </c>
      <c r="C346" t="s">
        <v>1284</v>
      </c>
      <c r="D346" t="s">
        <v>133</v>
      </c>
      <c r="E346" t="s">
        <v>134</v>
      </c>
      <c r="F346" t="s">
        <v>16</v>
      </c>
      <c r="G346" t="s">
        <v>141</v>
      </c>
      <c r="H346">
        <v>98</v>
      </c>
      <c r="I346">
        <v>2</v>
      </c>
      <c r="J346">
        <v>0.1</v>
      </c>
      <c r="K346">
        <v>31</v>
      </c>
      <c r="L346" t="s">
        <v>26</v>
      </c>
    </row>
    <row r="347" spans="1:12" x14ac:dyDescent="0.3">
      <c r="A347" t="s">
        <v>1285</v>
      </c>
      <c r="B347" t="s">
        <v>1286</v>
      </c>
      <c r="C347" t="s">
        <v>1287</v>
      </c>
      <c r="D347" t="s">
        <v>133</v>
      </c>
      <c r="E347" t="s">
        <v>134</v>
      </c>
      <c r="F347" t="s">
        <v>45</v>
      </c>
      <c r="G347" t="s">
        <v>146</v>
      </c>
      <c r="H347">
        <v>31</v>
      </c>
      <c r="I347">
        <v>5</v>
      </c>
      <c r="J347">
        <v>0</v>
      </c>
      <c r="K347">
        <v>14</v>
      </c>
      <c r="L347" t="s">
        <v>18</v>
      </c>
    </row>
    <row r="348" spans="1:12" x14ac:dyDescent="0.3">
      <c r="A348" t="s">
        <v>1288</v>
      </c>
      <c r="B348" t="s">
        <v>1289</v>
      </c>
      <c r="C348" t="s">
        <v>1290</v>
      </c>
      <c r="D348" t="s">
        <v>133</v>
      </c>
      <c r="E348" t="s">
        <v>134</v>
      </c>
      <c r="F348" t="s">
        <v>32</v>
      </c>
      <c r="G348" t="s">
        <v>152</v>
      </c>
      <c r="H348">
        <v>58</v>
      </c>
      <c r="I348">
        <v>4</v>
      </c>
      <c r="J348">
        <v>0</v>
      </c>
      <c r="K348">
        <v>20</v>
      </c>
      <c r="L348" t="s">
        <v>26</v>
      </c>
    </row>
    <row r="349" spans="1:12" x14ac:dyDescent="0.3">
      <c r="A349" t="s">
        <v>1291</v>
      </c>
      <c r="B349" t="s">
        <v>1292</v>
      </c>
      <c r="C349" t="s">
        <v>1293</v>
      </c>
      <c r="D349" t="s">
        <v>133</v>
      </c>
      <c r="E349" t="s">
        <v>134</v>
      </c>
      <c r="F349" t="s">
        <v>16</v>
      </c>
      <c r="G349" t="s">
        <v>158</v>
      </c>
      <c r="H349">
        <v>68</v>
      </c>
      <c r="I349">
        <v>2</v>
      </c>
      <c r="J349">
        <v>0</v>
      </c>
      <c r="K349">
        <v>20</v>
      </c>
      <c r="L349" t="s">
        <v>18</v>
      </c>
    </row>
    <row r="350" spans="1:12" x14ac:dyDescent="0.3">
      <c r="A350" t="s">
        <v>1294</v>
      </c>
      <c r="B350" t="s">
        <v>1295</v>
      </c>
      <c r="C350" t="s">
        <v>1296</v>
      </c>
      <c r="D350" t="s">
        <v>30</v>
      </c>
      <c r="E350" t="s">
        <v>134</v>
      </c>
      <c r="F350" t="s">
        <v>45</v>
      </c>
      <c r="G350" t="s">
        <v>163</v>
      </c>
      <c r="H350">
        <v>38</v>
      </c>
      <c r="I350">
        <v>1</v>
      </c>
      <c r="J350">
        <v>0</v>
      </c>
      <c r="K350">
        <v>14</v>
      </c>
      <c r="L350" t="s">
        <v>26</v>
      </c>
    </row>
    <row r="351" spans="1:12" x14ac:dyDescent="0.3">
      <c r="A351" t="s">
        <v>1297</v>
      </c>
      <c r="B351" t="s">
        <v>1298</v>
      </c>
      <c r="C351" t="s">
        <v>1299</v>
      </c>
      <c r="D351" t="s">
        <v>133</v>
      </c>
      <c r="E351" t="s">
        <v>134</v>
      </c>
      <c r="F351" t="s">
        <v>32</v>
      </c>
      <c r="G351" t="s">
        <v>168</v>
      </c>
      <c r="H351">
        <v>78</v>
      </c>
      <c r="I351">
        <v>2</v>
      </c>
      <c r="J351">
        <v>0.1</v>
      </c>
      <c r="K351">
        <v>20</v>
      </c>
      <c r="L351" t="s">
        <v>18</v>
      </c>
    </row>
    <row r="352" spans="1:12" x14ac:dyDescent="0.3">
      <c r="A352" t="s">
        <v>1300</v>
      </c>
      <c r="B352" t="s">
        <v>1301</v>
      </c>
      <c r="C352" t="s">
        <v>1302</v>
      </c>
      <c r="D352" t="s">
        <v>133</v>
      </c>
      <c r="E352" t="s">
        <v>134</v>
      </c>
      <c r="F352" t="s">
        <v>16</v>
      </c>
      <c r="G352" t="s">
        <v>174</v>
      </c>
      <c r="H352">
        <v>43</v>
      </c>
      <c r="I352">
        <v>3</v>
      </c>
      <c r="J352">
        <v>0</v>
      </c>
      <c r="K352">
        <v>14</v>
      </c>
      <c r="L352" t="s">
        <v>74</v>
      </c>
    </row>
    <row r="353" spans="1:12" x14ac:dyDescent="0.3">
      <c r="A353" t="s">
        <v>1303</v>
      </c>
      <c r="B353" t="s">
        <v>1304</v>
      </c>
      <c r="C353" t="s">
        <v>1305</v>
      </c>
      <c r="D353" t="s">
        <v>139</v>
      </c>
      <c r="E353" t="s">
        <v>140</v>
      </c>
      <c r="F353" t="s">
        <v>16</v>
      </c>
      <c r="G353" t="s">
        <v>17</v>
      </c>
      <c r="H353">
        <v>1280</v>
      </c>
      <c r="I353">
        <v>1</v>
      </c>
      <c r="J353">
        <v>0.1</v>
      </c>
      <c r="K353">
        <v>168</v>
      </c>
      <c r="L353" t="s">
        <v>18</v>
      </c>
    </row>
    <row r="354" spans="1:12" x14ac:dyDescent="0.3">
      <c r="A354" t="s">
        <v>1306</v>
      </c>
      <c r="B354" t="s">
        <v>1307</v>
      </c>
      <c r="C354" t="s">
        <v>1308</v>
      </c>
      <c r="D354" t="s">
        <v>1309</v>
      </c>
      <c r="E354" t="s">
        <v>140</v>
      </c>
      <c r="F354" t="s">
        <v>24</v>
      </c>
      <c r="G354" t="s">
        <v>25</v>
      </c>
      <c r="H354">
        <v>34</v>
      </c>
      <c r="I354">
        <v>2</v>
      </c>
      <c r="J354">
        <v>0</v>
      </c>
      <c r="K354">
        <v>19</v>
      </c>
      <c r="L354" t="s">
        <v>26</v>
      </c>
    </row>
    <row r="355" spans="1:12" x14ac:dyDescent="0.3">
      <c r="A355" t="s">
        <v>1310</v>
      </c>
      <c r="B355" t="s">
        <v>1311</v>
      </c>
      <c r="C355" t="s">
        <v>1312</v>
      </c>
      <c r="D355" t="s">
        <v>30</v>
      </c>
      <c r="E355" t="s">
        <v>140</v>
      </c>
      <c r="F355" t="s">
        <v>32</v>
      </c>
      <c r="G355" t="s">
        <v>33</v>
      </c>
      <c r="H355">
        <v>-590</v>
      </c>
      <c r="I355">
        <v>1</v>
      </c>
      <c r="J355">
        <v>0</v>
      </c>
      <c r="K355">
        <v>-68</v>
      </c>
      <c r="L355" t="s">
        <v>18</v>
      </c>
    </row>
    <row r="356" spans="1:12" x14ac:dyDescent="0.3">
      <c r="A356" t="s">
        <v>1313</v>
      </c>
      <c r="B356" t="s">
        <v>1314</v>
      </c>
      <c r="C356" t="s">
        <v>1315</v>
      </c>
      <c r="D356" t="s">
        <v>415</v>
      </c>
      <c r="E356" t="s">
        <v>140</v>
      </c>
      <c r="F356" t="s">
        <v>16</v>
      </c>
      <c r="G356" t="s">
        <v>39</v>
      </c>
      <c r="H356">
        <v>980</v>
      </c>
      <c r="I356">
        <v>1</v>
      </c>
      <c r="J356">
        <v>0.05</v>
      </c>
      <c r="K356">
        <v>128</v>
      </c>
      <c r="L356" t="s">
        <v>40</v>
      </c>
    </row>
    <row r="357" spans="1:12" x14ac:dyDescent="0.3">
      <c r="A357" t="s">
        <v>1316</v>
      </c>
      <c r="B357" t="s">
        <v>1317</v>
      </c>
      <c r="C357" t="s">
        <v>1318</v>
      </c>
      <c r="D357" t="s">
        <v>1319</v>
      </c>
      <c r="E357" t="s">
        <v>140</v>
      </c>
      <c r="F357" t="s">
        <v>45</v>
      </c>
      <c r="G357" t="s">
        <v>46</v>
      </c>
      <c r="H357">
        <v>70</v>
      </c>
      <c r="I357">
        <v>3</v>
      </c>
      <c r="J357">
        <v>0</v>
      </c>
      <c r="K357">
        <v>33</v>
      </c>
      <c r="L357" t="s">
        <v>26</v>
      </c>
    </row>
    <row r="358" spans="1:12" x14ac:dyDescent="0.3">
      <c r="A358" t="s">
        <v>1320</v>
      </c>
      <c r="B358" t="s">
        <v>1321</v>
      </c>
      <c r="C358" t="s">
        <v>1322</v>
      </c>
      <c r="D358" t="s">
        <v>1323</v>
      </c>
      <c r="E358" t="s">
        <v>140</v>
      </c>
      <c r="F358" t="s">
        <v>52</v>
      </c>
      <c r="G358" t="s">
        <v>53</v>
      </c>
      <c r="H358">
        <v>178</v>
      </c>
      <c r="I358">
        <v>4</v>
      </c>
      <c r="J358">
        <v>0.1</v>
      </c>
      <c r="K358">
        <v>36</v>
      </c>
      <c r="L358" t="s">
        <v>26</v>
      </c>
    </row>
    <row r="359" spans="1:12" x14ac:dyDescent="0.3">
      <c r="A359" t="s">
        <v>1324</v>
      </c>
      <c r="B359" t="s">
        <v>1325</v>
      </c>
      <c r="C359" t="s">
        <v>1326</v>
      </c>
      <c r="D359" t="s">
        <v>1327</v>
      </c>
      <c r="E359" t="s">
        <v>140</v>
      </c>
      <c r="F359" t="s">
        <v>16</v>
      </c>
      <c r="G359" t="s">
        <v>59</v>
      </c>
      <c r="H359">
        <v>328</v>
      </c>
      <c r="I359">
        <v>2</v>
      </c>
      <c r="J359">
        <v>0</v>
      </c>
      <c r="K359">
        <v>60</v>
      </c>
      <c r="L359" t="s">
        <v>18</v>
      </c>
    </row>
    <row r="360" spans="1:12" x14ac:dyDescent="0.3">
      <c r="A360" t="s">
        <v>1328</v>
      </c>
      <c r="B360" t="s">
        <v>1329</v>
      </c>
      <c r="C360" t="s">
        <v>1330</v>
      </c>
      <c r="D360" t="s">
        <v>30</v>
      </c>
      <c r="E360" t="s">
        <v>140</v>
      </c>
      <c r="F360" t="s">
        <v>45</v>
      </c>
      <c r="G360" t="s">
        <v>63</v>
      </c>
      <c r="H360">
        <v>98</v>
      </c>
      <c r="I360">
        <v>1</v>
      </c>
      <c r="J360">
        <v>0.2</v>
      </c>
      <c r="K360">
        <v>33</v>
      </c>
      <c r="L360" t="s">
        <v>26</v>
      </c>
    </row>
    <row r="361" spans="1:12" x14ac:dyDescent="0.3">
      <c r="A361" t="s">
        <v>1331</v>
      </c>
      <c r="B361" t="s">
        <v>1332</v>
      </c>
      <c r="C361" t="s">
        <v>1333</v>
      </c>
      <c r="D361" t="s">
        <v>1334</v>
      </c>
      <c r="E361" t="s">
        <v>140</v>
      </c>
      <c r="F361" t="s">
        <v>32</v>
      </c>
      <c r="G361" t="s">
        <v>68</v>
      </c>
      <c r="H361">
        <v>1080</v>
      </c>
      <c r="I361">
        <v>1</v>
      </c>
      <c r="J361">
        <v>0.15</v>
      </c>
      <c r="K361">
        <v>128</v>
      </c>
      <c r="L361" t="s">
        <v>18</v>
      </c>
    </row>
    <row r="362" spans="1:12" x14ac:dyDescent="0.3">
      <c r="A362" t="s">
        <v>1335</v>
      </c>
      <c r="B362" t="s">
        <v>1336</v>
      </c>
      <c r="C362" t="s">
        <v>1337</v>
      </c>
      <c r="D362" t="s">
        <v>1338</v>
      </c>
      <c r="E362" t="s">
        <v>140</v>
      </c>
      <c r="F362" t="s">
        <v>16</v>
      </c>
      <c r="G362" t="s">
        <v>73</v>
      </c>
      <c r="H362">
        <v>128</v>
      </c>
      <c r="I362">
        <v>0</v>
      </c>
      <c r="J362">
        <v>0</v>
      </c>
      <c r="K362">
        <v>40</v>
      </c>
      <c r="L362" t="s">
        <v>74</v>
      </c>
    </row>
    <row r="363" spans="1:12" x14ac:dyDescent="0.3">
      <c r="A363" t="s">
        <v>1328</v>
      </c>
      <c r="B363" t="s">
        <v>1329</v>
      </c>
      <c r="C363" t="s">
        <v>1330</v>
      </c>
      <c r="D363" t="s">
        <v>30</v>
      </c>
      <c r="E363" t="s">
        <v>140</v>
      </c>
      <c r="F363" t="s">
        <v>45</v>
      </c>
      <c r="G363" t="s">
        <v>63</v>
      </c>
      <c r="H363">
        <v>98</v>
      </c>
      <c r="I363">
        <v>1</v>
      </c>
      <c r="J363">
        <v>0.2</v>
      </c>
      <c r="K363">
        <v>33</v>
      </c>
      <c r="L363" t="s">
        <v>26</v>
      </c>
    </row>
    <row r="364" spans="1:12" x14ac:dyDescent="0.3">
      <c r="A364" t="s">
        <v>1339</v>
      </c>
      <c r="B364" t="s">
        <v>1340</v>
      </c>
      <c r="C364" t="s">
        <v>1341</v>
      </c>
      <c r="D364" t="s">
        <v>1342</v>
      </c>
      <c r="E364" t="s">
        <v>140</v>
      </c>
      <c r="F364" t="s">
        <v>45</v>
      </c>
      <c r="G364" t="s">
        <v>79</v>
      </c>
      <c r="H364">
        <v>148</v>
      </c>
      <c r="I364">
        <v>-1</v>
      </c>
      <c r="J364">
        <v>0</v>
      </c>
      <c r="K364">
        <v>50</v>
      </c>
      <c r="L364" t="s">
        <v>18</v>
      </c>
    </row>
    <row r="365" spans="1:12" x14ac:dyDescent="0.3">
      <c r="A365" t="s">
        <v>1343</v>
      </c>
      <c r="B365" t="s">
        <v>1344</v>
      </c>
      <c r="C365" t="s">
        <v>1345</v>
      </c>
      <c r="D365" t="s">
        <v>1346</v>
      </c>
      <c r="E365" t="s">
        <v>140</v>
      </c>
      <c r="F365" t="s">
        <v>32</v>
      </c>
      <c r="G365" t="s">
        <v>84</v>
      </c>
      <c r="H365">
        <v>378</v>
      </c>
      <c r="I365">
        <v>1</v>
      </c>
      <c r="J365">
        <v>0.1</v>
      </c>
      <c r="K365">
        <v>60</v>
      </c>
      <c r="L365" t="s">
        <v>26</v>
      </c>
    </row>
    <row r="366" spans="1:12" x14ac:dyDescent="0.3">
      <c r="A366" t="s">
        <v>1347</v>
      </c>
      <c r="B366" t="s">
        <v>1348</v>
      </c>
      <c r="C366" t="s">
        <v>1349</v>
      </c>
      <c r="D366" t="s">
        <v>1350</v>
      </c>
      <c r="E366" t="s">
        <v>140</v>
      </c>
      <c r="F366" t="s">
        <v>16</v>
      </c>
      <c r="G366" t="s">
        <v>89</v>
      </c>
      <c r="H366">
        <v>278</v>
      </c>
      <c r="I366">
        <v>2</v>
      </c>
      <c r="J366">
        <v>0.05</v>
      </c>
      <c r="K366">
        <v>50</v>
      </c>
      <c r="L366" t="s">
        <v>18</v>
      </c>
    </row>
    <row r="367" spans="1:12" x14ac:dyDescent="0.3">
      <c r="A367" t="s">
        <v>1351</v>
      </c>
      <c r="B367" t="s">
        <v>1352</v>
      </c>
      <c r="C367" t="s">
        <v>1353</v>
      </c>
      <c r="D367" t="s">
        <v>1354</v>
      </c>
      <c r="E367" t="s">
        <v>140</v>
      </c>
      <c r="F367" t="s">
        <v>45</v>
      </c>
      <c r="G367" t="s">
        <v>95</v>
      </c>
      <c r="H367">
        <v>178</v>
      </c>
      <c r="I367">
        <v>1</v>
      </c>
      <c r="J367">
        <v>0</v>
      </c>
      <c r="K367">
        <v>45</v>
      </c>
      <c r="L367" t="s">
        <v>26</v>
      </c>
    </row>
    <row r="368" spans="1:12" x14ac:dyDescent="0.3">
      <c r="A368" t="s">
        <v>1355</v>
      </c>
      <c r="B368" t="s">
        <v>1356</v>
      </c>
      <c r="C368" t="s">
        <v>1357</v>
      </c>
      <c r="D368" t="s">
        <v>1358</v>
      </c>
      <c r="E368" t="s">
        <v>140</v>
      </c>
      <c r="F368" t="s">
        <v>32</v>
      </c>
      <c r="G368" t="s">
        <v>100</v>
      </c>
      <c r="H368">
        <v>228</v>
      </c>
      <c r="I368">
        <v>1</v>
      </c>
      <c r="J368">
        <v>0.1</v>
      </c>
      <c r="K368">
        <v>40</v>
      </c>
      <c r="L368" t="s">
        <v>18</v>
      </c>
    </row>
    <row r="369" spans="1:12" x14ac:dyDescent="0.3">
      <c r="A369" t="s">
        <v>1359</v>
      </c>
      <c r="B369" t="s">
        <v>1360</v>
      </c>
      <c r="C369" t="s">
        <v>1361</v>
      </c>
      <c r="D369" t="s">
        <v>1362</v>
      </c>
      <c r="E369" t="s">
        <v>140</v>
      </c>
      <c r="F369" t="s">
        <v>16</v>
      </c>
      <c r="G369" t="s">
        <v>106</v>
      </c>
      <c r="H369">
        <v>228</v>
      </c>
      <c r="I369">
        <v>1</v>
      </c>
      <c r="J369">
        <v>0</v>
      </c>
      <c r="K369">
        <v>60</v>
      </c>
      <c r="L369" t="s">
        <v>26</v>
      </c>
    </row>
    <row r="370" spans="1:12" x14ac:dyDescent="0.3">
      <c r="A370" t="s">
        <v>1363</v>
      </c>
      <c r="B370" t="s">
        <v>1364</v>
      </c>
      <c r="C370" t="s">
        <v>1365</v>
      </c>
      <c r="D370" t="s">
        <v>1366</v>
      </c>
      <c r="E370" t="s">
        <v>140</v>
      </c>
      <c r="F370" t="s">
        <v>45</v>
      </c>
      <c r="G370" t="s">
        <v>112</v>
      </c>
      <c r="H370">
        <v>80</v>
      </c>
      <c r="I370">
        <v>2</v>
      </c>
      <c r="J370">
        <v>0.1</v>
      </c>
      <c r="K370">
        <v>21</v>
      </c>
      <c r="L370" t="s">
        <v>18</v>
      </c>
    </row>
    <row r="371" spans="1:12" x14ac:dyDescent="0.3">
      <c r="A371" t="s">
        <v>1367</v>
      </c>
      <c r="B371" t="s">
        <v>1368</v>
      </c>
      <c r="C371" t="s">
        <v>1369</v>
      </c>
      <c r="D371" t="s">
        <v>30</v>
      </c>
      <c r="E371" t="s">
        <v>140</v>
      </c>
      <c r="F371" t="s">
        <v>32</v>
      </c>
      <c r="G371" t="s">
        <v>117</v>
      </c>
      <c r="H371">
        <v>1200</v>
      </c>
      <c r="I371">
        <v>1</v>
      </c>
      <c r="J371">
        <v>0.2</v>
      </c>
      <c r="K371">
        <v>178</v>
      </c>
      <c r="L371" t="s">
        <v>26</v>
      </c>
    </row>
    <row r="372" spans="1:12" x14ac:dyDescent="0.3">
      <c r="A372" t="s">
        <v>1370</v>
      </c>
      <c r="B372" t="s">
        <v>1371</v>
      </c>
      <c r="C372" t="s">
        <v>1372</v>
      </c>
      <c r="D372" t="s">
        <v>1373</v>
      </c>
      <c r="E372" t="s">
        <v>140</v>
      </c>
      <c r="F372" t="s">
        <v>16</v>
      </c>
      <c r="G372" t="s">
        <v>123</v>
      </c>
      <c r="H372">
        <v>800</v>
      </c>
      <c r="I372">
        <v>1</v>
      </c>
      <c r="J372">
        <v>0</v>
      </c>
      <c r="K372">
        <v>108</v>
      </c>
      <c r="L372" t="s">
        <v>40</v>
      </c>
    </row>
    <row r="373" spans="1:12" x14ac:dyDescent="0.3">
      <c r="A373" t="s">
        <v>1374</v>
      </c>
      <c r="B373" t="s">
        <v>1375</v>
      </c>
      <c r="C373" t="s">
        <v>1376</v>
      </c>
      <c r="D373" t="s">
        <v>1377</v>
      </c>
      <c r="E373" t="s">
        <v>140</v>
      </c>
      <c r="F373" t="s">
        <v>45</v>
      </c>
      <c r="G373" t="s">
        <v>129</v>
      </c>
      <c r="H373">
        <v>50</v>
      </c>
      <c r="I373">
        <v>3</v>
      </c>
      <c r="J373">
        <v>0</v>
      </c>
      <c r="K373">
        <v>15</v>
      </c>
      <c r="L373" t="s">
        <v>26</v>
      </c>
    </row>
    <row r="374" spans="1:12" x14ac:dyDescent="0.3">
      <c r="A374" t="s">
        <v>1378</v>
      </c>
      <c r="B374" t="s">
        <v>1379</v>
      </c>
      <c r="C374" t="s">
        <v>1380</v>
      </c>
      <c r="D374" t="s">
        <v>1381</v>
      </c>
      <c r="E374" t="s">
        <v>140</v>
      </c>
      <c r="F374" t="s">
        <v>32</v>
      </c>
      <c r="G374" t="s">
        <v>135</v>
      </c>
      <c r="H374">
        <v>-500</v>
      </c>
      <c r="I374">
        <v>1</v>
      </c>
      <c r="J374">
        <v>0</v>
      </c>
      <c r="K374">
        <v>-40</v>
      </c>
      <c r="L374" t="s">
        <v>18</v>
      </c>
    </row>
    <row r="375" spans="1:12" x14ac:dyDescent="0.3">
      <c r="A375" t="s">
        <v>1382</v>
      </c>
      <c r="B375" t="s">
        <v>1383</v>
      </c>
      <c r="C375" t="s">
        <v>1384</v>
      </c>
      <c r="D375" t="s">
        <v>1385</v>
      </c>
      <c r="E375" t="s">
        <v>140</v>
      </c>
      <c r="F375" t="s">
        <v>16</v>
      </c>
      <c r="G375" t="s">
        <v>141</v>
      </c>
      <c r="H375">
        <v>100</v>
      </c>
      <c r="I375">
        <v>2</v>
      </c>
      <c r="J375">
        <v>0.1</v>
      </c>
      <c r="K375">
        <v>33</v>
      </c>
      <c r="L375" t="s">
        <v>26</v>
      </c>
    </row>
    <row r="376" spans="1:12" x14ac:dyDescent="0.3">
      <c r="A376" t="s">
        <v>1386</v>
      </c>
      <c r="B376" t="s">
        <v>1387</v>
      </c>
      <c r="C376" t="s">
        <v>1388</v>
      </c>
      <c r="D376" t="s">
        <v>1389</v>
      </c>
      <c r="E376" t="s">
        <v>140</v>
      </c>
      <c r="F376" t="s">
        <v>45</v>
      </c>
      <c r="G376" t="s">
        <v>146</v>
      </c>
      <c r="H376">
        <v>33</v>
      </c>
      <c r="I376">
        <v>5</v>
      </c>
      <c r="J376">
        <v>0</v>
      </c>
      <c r="K376">
        <v>15</v>
      </c>
      <c r="L376" t="s">
        <v>18</v>
      </c>
    </row>
    <row r="377" spans="1:12" x14ac:dyDescent="0.3">
      <c r="A377" t="s">
        <v>1390</v>
      </c>
      <c r="B377" t="s">
        <v>1391</v>
      </c>
      <c r="C377" t="s">
        <v>1392</v>
      </c>
      <c r="D377" t="s">
        <v>1393</v>
      </c>
      <c r="E377" t="s">
        <v>140</v>
      </c>
      <c r="F377" t="s">
        <v>32</v>
      </c>
      <c r="G377" t="s">
        <v>152</v>
      </c>
      <c r="H377">
        <v>60</v>
      </c>
      <c r="I377">
        <v>4</v>
      </c>
      <c r="J377">
        <v>0</v>
      </c>
      <c r="K377">
        <v>21</v>
      </c>
      <c r="L377" t="s">
        <v>26</v>
      </c>
    </row>
    <row r="378" spans="1:12" x14ac:dyDescent="0.3">
      <c r="A378" t="s">
        <v>1394</v>
      </c>
      <c r="B378" t="s">
        <v>1395</v>
      </c>
      <c r="C378" t="s">
        <v>1396</v>
      </c>
      <c r="D378" t="s">
        <v>1397</v>
      </c>
      <c r="E378" t="s">
        <v>140</v>
      </c>
      <c r="F378" t="s">
        <v>16</v>
      </c>
      <c r="G378" t="s">
        <v>158</v>
      </c>
      <c r="H378">
        <v>70</v>
      </c>
      <c r="I378">
        <v>2</v>
      </c>
      <c r="J378">
        <v>0</v>
      </c>
      <c r="K378">
        <v>21</v>
      </c>
      <c r="L378" t="s">
        <v>18</v>
      </c>
    </row>
    <row r="379" spans="1:12" x14ac:dyDescent="0.3">
      <c r="A379" t="s">
        <v>1398</v>
      </c>
      <c r="B379" t="s">
        <v>1399</v>
      </c>
      <c r="C379" t="s">
        <v>1400</v>
      </c>
      <c r="D379" t="s">
        <v>30</v>
      </c>
      <c r="E379" t="s">
        <v>140</v>
      </c>
      <c r="F379" t="s">
        <v>45</v>
      </c>
      <c r="G379" t="s">
        <v>163</v>
      </c>
      <c r="H379">
        <v>40</v>
      </c>
      <c r="I379">
        <v>1</v>
      </c>
      <c r="J379">
        <v>0</v>
      </c>
      <c r="K379">
        <v>15</v>
      </c>
      <c r="L379" t="s">
        <v>26</v>
      </c>
    </row>
    <row r="380" spans="1:12" x14ac:dyDescent="0.3">
      <c r="A380" t="s">
        <v>1401</v>
      </c>
      <c r="B380" t="s">
        <v>1402</v>
      </c>
      <c r="C380" t="s">
        <v>1403</v>
      </c>
      <c r="D380" t="s">
        <v>1404</v>
      </c>
      <c r="E380" t="s">
        <v>140</v>
      </c>
      <c r="F380" t="s">
        <v>32</v>
      </c>
      <c r="G380" t="s">
        <v>168</v>
      </c>
      <c r="H380">
        <v>80</v>
      </c>
      <c r="I380">
        <v>2</v>
      </c>
      <c r="J380">
        <v>0.1</v>
      </c>
      <c r="K380">
        <v>21</v>
      </c>
      <c r="L380" t="s">
        <v>18</v>
      </c>
    </row>
    <row r="381" spans="1:12" x14ac:dyDescent="0.3">
      <c r="A381" t="s">
        <v>1405</v>
      </c>
      <c r="B381" t="s">
        <v>1406</v>
      </c>
      <c r="C381" t="s">
        <v>1407</v>
      </c>
      <c r="D381" t="s">
        <v>1408</v>
      </c>
      <c r="E381" t="s">
        <v>140</v>
      </c>
      <c r="F381" t="s">
        <v>16</v>
      </c>
      <c r="G381" t="s">
        <v>174</v>
      </c>
      <c r="H381">
        <v>45</v>
      </c>
      <c r="I381">
        <v>3</v>
      </c>
      <c r="J381">
        <v>0</v>
      </c>
      <c r="K381">
        <v>15</v>
      </c>
      <c r="L381" t="s">
        <v>74</v>
      </c>
    </row>
    <row r="382" spans="1:12" x14ac:dyDescent="0.3">
      <c r="A382" t="s">
        <v>1409</v>
      </c>
      <c r="B382" t="s">
        <v>1410</v>
      </c>
      <c r="C382" t="s">
        <v>1411</v>
      </c>
      <c r="D382" t="s">
        <v>156</v>
      </c>
      <c r="E382" t="s">
        <v>157</v>
      </c>
      <c r="F382" t="s">
        <v>16</v>
      </c>
      <c r="G382" t="s">
        <v>17</v>
      </c>
      <c r="H382">
        <v>1290</v>
      </c>
      <c r="I382">
        <v>1</v>
      </c>
      <c r="J382">
        <v>0.1</v>
      </c>
      <c r="K382">
        <v>170</v>
      </c>
      <c r="L382" t="s">
        <v>18</v>
      </c>
    </row>
    <row r="383" spans="1:12" x14ac:dyDescent="0.3">
      <c r="A383" t="s">
        <v>1412</v>
      </c>
      <c r="B383" t="s">
        <v>1413</v>
      </c>
      <c r="C383" t="s">
        <v>1414</v>
      </c>
      <c r="D383" t="s">
        <v>1415</v>
      </c>
      <c r="E383" t="s">
        <v>157</v>
      </c>
      <c r="F383" t="s">
        <v>24</v>
      </c>
      <c r="G383" t="s">
        <v>25</v>
      </c>
      <c r="H383">
        <v>35</v>
      </c>
      <c r="I383">
        <v>2</v>
      </c>
      <c r="J383">
        <v>0</v>
      </c>
      <c r="K383">
        <v>20</v>
      </c>
      <c r="L383" t="s">
        <v>26</v>
      </c>
    </row>
    <row r="384" spans="1:12" x14ac:dyDescent="0.3">
      <c r="A384" t="s">
        <v>1416</v>
      </c>
      <c r="B384" t="s">
        <v>1417</v>
      </c>
      <c r="C384" t="s">
        <v>1418</v>
      </c>
      <c r="D384" t="s">
        <v>30</v>
      </c>
      <c r="E384" t="s">
        <v>157</v>
      </c>
      <c r="F384" t="s">
        <v>32</v>
      </c>
      <c r="G384" t="s">
        <v>33</v>
      </c>
      <c r="H384">
        <v>-600</v>
      </c>
      <c r="I384">
        <v>1</v>
      </c>
      <c r="J384">
        <v>0</v>
      </c>
      <c r="K384">
        <v>-70</v>
      </c>
      <c r="L384" t="s">
        <v>18</v>
      </c>
    </row>
    <row r="385" spans="1:12" x14ac:dyDescent="0.3">
      <c r="A385" t="s">
        <v>1419</v>
      </c>
      <c r="B385" t="s">
        <v>1420</v>
      </c>
      <c r="C385" t="s">
        <v>1421</v>
      </c>
      <c r="D385" t="s">
        <v>904</v>
      </c>
      <c r="E385" t="s">
        <v>157</v>
      </c>
      <c r="F385" t="s">
        <v>16</v>
      </c>
      <c r="G385" t="s">
        <v>39</v>
      </c>
      <c r="H385">
        <v>1000</v>
      </c>
      <c r="I385">
        <v>1</v>
      </c>
      <c r="J385">
        <v>0.05</v>
      </c>
      <c r="K385">
        <v>130</v>
      </c>
      <c r="L385" t="s">
        <v>40</v>
      </c>
    </row>
    <row r="386" spans="1:12" x14ac:dyDescent="0.3">
      <c r="A386" t="s">
        <v>1422</v>
      </c>
      <c r="B386" t="s">
        <v>1423</v>
      </c>
      <c r="C386" t="s">
        <v>1424</v>
      </c>
      <c r="D386" t="s">
        <v>1425</v>
      </c>
      <c r="E386" t="s">
        <v>157</v>
      </c>
      <c r="F386" t="s">
        <v>45</v>
      </c>
      <c r="G386" t="s">
        <v>46</v>
      </c>
      <c r="H386">
        <v>72</v>
      </c>
      <c r="I386">
        <v>3</v>
      </c>
      <c r="J386">
        <v>0</v>
      </c>
      <c r="K386">
        <v>35</v>
      </c>
      <c r="L386" t="s">
        <v>26</v>
      </c>
    </row>
    <row r="387" spans="1:12" x14ac:dyDescent="0.3">
      <c r="A387" t="s">
        <v>1426</v>
      </c>
      <c r="B387" t="s">
        <v>1427</v>
      </c>
      <c r="C387" t="s">
        <v>1428</v>
      </c>
      <c r="D387" t="s">
        <v>1429</v>
      </c>
      <c r="E387" t="s">
        <v>157</v>
      </c>
      <c r="F387" t="s">
        <v>52</v>
      </c>
      <c r="G387" t="s">
        <v>53</v>
      </c>
      <c r="H387">
        <v>180</v>
      </c>
      <c r="I387">
        <v>4</v>
      </c>
      <c r="J387">
        <v>0.1</v>
      </c>
      <c r="K387">
        <v>38</v>
      </c>
      <c r="L387" t="s">
        <v>26</v>
      </c>
    </row>
    <row r="388" spans="1:12" x14ac:dyDescent="0.3">
      <c r="A388" t="s">
        <v>1430</v>
      </c>
      <c r="B388" t="s">
        <v>1431</v>
      </c>
      <c r="C388" t="s">
        <v>1432</v>
      </c>
      <c r="D388" t="s">
        <v>1433</v>
      </c>
      <c r="E388" t="s">
        <v>157</v>
      </c>
      <c r="F388" t="s">
        <v>16</v>
      </c>
      <c r="G388" t="s">
        <v>59</v>
      </c>
      <c r="H388">
        <v>330</v>
      </c>
      <c r="I388">
        <v>2</v>
      </c>
      <c r="J388">
        <v>0</v>
      </c>
      <c r="K388">
        <v>62</v>
      </c>
      <c r="L388" t="s">
        <v>18</v>
      </c>
    </row>
    <row r="389" spans="1:12" x14ac:dyDescent="0.3">
      <c r="A389" t="s">
        <v>1434</v>
      </c>
      <c r="B389" t="s">
        <v>1435</v>
      </c>
      <c r="C389" t="s">
        <v>1436</v>
      </c>
      <c r="D389" t="s">
        <v>30</v>
      </c>
      <c r="E389" t="s">
        <v>157</v>
      </c>
      <c r="F389" t="s">
        <v>45</v>
      </c>
      <c r="G389" t="s">
        <v>63</v>
      </c>
      <c r="H389">
        <v>100</v>
      </c>
      <c r="I389">
        <v>1</v>
      </c>
      <c r="J389">
        <v>0.2</v>
      </c>
      <c r="K389">
        <v>35</v>
      </c>
      <c r="L389" t="s">
        <v>26</v>
      </c>
    </row>
    <row r="390" spans="1:12" x14ac:dyDescent="0.3">
      <c r="A390" t="s">
        <v>1430</v>
      </c>
      <c r="B390" t="s">
        <v>1431</v>
      </c>
      <c r="C390" t="s">
        <v>1432</v>
      </c>
      <c r="D390" t="s">
        <v>1433</v>
      </c>
      <c r="E390" t="s">
        <v>157</v>
      </c>
      <c r="F390" t="s">
        <v>16</v>
      </c>
      <c r="G390" t="s">
        <v>59</v>
      </c>
      <c r="H390">
        <v>330</v>
      </c>
      <c r="I390">
        <v>2</v>
      </c>
      <c r="J390">
        <v>0</v>
      </c>
      <c r="K390">
        <v>62</v>
      </c>
      <c r="L390" t="s">
        <v>18</v>
      </c>
    </row>
    <row r="391" spans="1:12" x14ac:dyDescent="0.3">
      <c r="A391" t="s">
        <v>1437</v>
      </c>
      <c r="B391" t="s">
        <v>1438</v>
      </c>
      <c r="C391" t="s">
        <v>1439</v>
      </c>
      <c r="D391" t="s">
        <v>1440</v>
      </c>
      <c r="E391" t="s">
        <v>157</v>
      </c>
      <c r="F391" t="s">
        <v>32</v>
      </c>
      <c r="G391" t="s">
        <v>68</v>
      </c>
      <c r="H391">
        <v>1100</v>
      </c>
      <c r="I391">
        <v>1</v>
      </c>
      <c r="J391">
        <v>0.15</v>
      </c>
      <c r="K391">
        <v>130</v>
      </c>
      <c r="L391" t="s">
        <v>18</v>
      </c>
    </row>
    <row r="392" spans="1:12" x14ac:dyDescent="0.3">
      <c r="A392" t="s">
        <v>1441</v>
      </c>
      <c r="B392" t="s">
        <v>1442</v>
      </c>
      <c r="C392" t="s">
        <v>1443</v>
      </c>
      <c r="D392" t="s">
        <v>837</v>
      </c>
      <c r="E392" t="s">
        <v>157</v>
      </c>
      <c r="F392" t="s">
        <v>16</v>
      </c>
      <c r="G392" t="s">
        <v>73</v>
      </c>
      <c r="H392">
        <v>130</v>
      </c>
      <c r="I392">
        <v>0</v>
      </c>
      <c r="J392">
        <v>0</v>
      </c>
      <c r="K392">
        <v>42</v>
      </c>
      <c r="L392" t="s">
        <v>74</v>
      </c>
    </row>
    <row r="393" spans="1:12" x14ac:dyDescent="0.3">
      <c r="A393" t="s">
        <v>1444</v>
      </c>
      <c r="B393" t="s">
        <v>1445</v>
      </c>
      <c r="C393" t="s">
        <v>1446</v>
      </c>
      <c r="D393" t="s">
        <v>1447</v>
      </c>
      <c r="E393" t="s">
        <v>157</v>
      </c>
      <c r="F393" t="s">
        <v>45</v>
      </c>
      <c r="G393" t="s">
        <v>79</v>
      </c>
      <c r="H393">
        <v>150</v>
      </c>
      <c r="I393">
        <v>-1</v>
      </c>
      <c r="J393">
        <v>0</v>
      </c>
      <c r="K393">
        <v>52</v>
      </c>
      <c r="L393" t="s">
        <v>18</v>
      </c>
    </row>
    <row r="394" spans="1:12" x14ac:dyDescent="0.3">
      <c r="A394" t="s">
        <v>1448</v>
      </c>
      <c r="B394" t="s">
        <v>1449</v>
      </c>
      <c r="C394" t="s">
        <v>1450</v>
      </c>
      <c r="D394" t="s">
        <v>1451</v>
      </c>
      <c r="E394" t="s">
        <v>157</v>
      </c>
      <c r="F394" t="s">
        <v>32</v>
      </c>
      <c r="G394" t="s">
        <v>84</v>
      </c>
      <c r="H394">
        <v>380</v>
      </c>
      <c r="I394">
        <v>1</v>
      </c>
      <c r="J394">
        <v>0.1</v>
      </c>
      <c r="K394">
        <v>62</v>
      </c>
      <c r="L394" t="s">
        <v>26</v>
      </c>
    </row>
    <row r="395" spans="1:12" x14ac:dyDescent="0.3">
      <c r="A395" t="s">
        <v>1452</v>
      </c>
      <c r="B395" t="s">
        <v>1453</v>
      </c>
      <c r="C395" t="s">
        <v>1454</v>
      </c>
      <c r="D395" t="s">
        <v>1455</v>
      </c>
      <c r="E395" t="s">
        <v>157</v>
      </c>
      <c r="F395" t="s">
        <v>16</v>
      </c>
      <c r="G395" t="s">
        <v>89</v>
      </c>
      <c r="H395">
        <v>280</v>
      </c>
      <c r="I395">
        <v>2</v>
      </c>
      <c r="J395">
        <v>0.05</v>
      </c>
      <c r="K395">
        <v>52</v>
      </c>
      <c r="L395" t="s">
        <v>18</v>
      </c>
    </row>
    <row r="396" spans="1:12" x14ac:dyDescent="0.3">
      <c r="A396" t="s">
        <v>1456</v>
      </c>
      <c r="B396" t="s">
        <v>1457</v>
      </c>
      <c r="C396" t="s">
        <v>1458</v>
      </c>
      <c r="D396" t="s">
        <v>1459</v>
      </c>
      <c r="E396" t="s">
        <v>157</v>
      </c>
      <c r="F396" t="s">
        <v>45</v>
      </c>
      <c r="G396" t="s">
        <v>95</v>
      </c>
      <c r="H396">
        <v>180</v>
      </c>
      <c r="I396">
        <v>1</v>
      </c>
      <c r="J396">
        <v>0</v>
      </c>
      <c r="K396">
        <v>47</v>
      </c>
      <c r="L396" t="s">
        <v>26</v>
      </c>
    </row>
    <row r="397" spans="1:12" x14ac:dyDescent="0.3">
      <c r="A397" t="s">
        <v>1460</v>
      </c>
      <c r="B397" t="s">
        <v>1461</v>
      </c>
      <c r="C397" t="s">
        <v>1462</v>
      </c>
      <c r="D397" t="s">
        <v>1463</v>
      </c>
      <c r="E397" t="s">
        <v>157</v>
      </c>
      <c r="F397" t="s">
        <v>32</v>
      </c>
      <c r="G397" t="s">
        <v>100</v>
      </c>
      <c r="H397">
        <v>230</v>
      </c>
      <c r="I397">
        <v>1</v>
      </c>
      <c r="J397">
        <v>0.1</v>
      </c>
      <c r="K397">
        <v>42</v>
      </c>
      <c r="L397" t="s">
        <v>18</v>
      </c>
    </row>
    <row r="398" spans="1:12" x14ac:dyDescent="0.3">
      <c r="A398" t="s">
        <v>1464</v>
      </c>
      <c r="B398" t="s">
        <v>1465</v>
      </c>
      <c r="C398" t="s">
        <v>1466</v>
      </c>
      <c r="D398" t="s">
        <v>1467</v>
      </c>
      <c r="E398" t="s">
        <v>157</v>
      </c>
      <c r="F398" t="s">
        <v>16</v>
      </c>
      <c r="G398" t="s">
        <v>106</v>
      </c>
      <c r="H398">
        <v>230</v>
      </c>
      <c r="I398">
        <v>1</v>
      </c>
      <c r="J398">
        <v>0</v>
      </c>
      <c r="K398">
        <v>62</v>
      </c>
      <c r="L398" t="s">
        <v>26</v>
      </c>
    </row>
    <row r="399" spans="1:12" x14ac:dyDescent="0.3">
      <c r="A399" t="s">
        <v>1468</v>
      </c>
      <c r="B399" t="s">
        <v>1469</v>
      </c>
      <c r="C399" t="s">
        <v>1470</v>
      </c>
      <c r="D399" t="s">
        <v>1471</v>
      </c>
      <c r="E399" t="s">
        <v>157</v>
      </c>
      <c r="F399" t="s">
        <v>45</v>
      </c>
      <c r="G399" t="s">
        <v>112</v>
      </c>
      <c r="H399">
        <v>82</v>
      </c>
      <c r="I399">
        <v>2</v>
      </c>
      <c r="J399">
        <v>0.1</v>
      </c>
      <c r="K399">
        <v>22</v>
      </c>
      <c r="L399" t="s">
        <v>18</v>
      </c>
    </row>
    <row r="400" spans="1:12" x14ac:dyDescent="0.3">
      <c r="A400" t="s">
        <v>1472</v>
      </c>
      <c r="B400" t="s">
        <v>1473</v>
      </c>
      <c r="C400" t="s">
        <v>1098</v>
      </c>
      <c r="D400" t="s">
        <v>30</v>
      </c>
      <c r="E400" t="s">
        <v>157</v>
      </c>
      <c r="F400" t="s">
        <v>32</v>
      </c>
      <c r="G400" t="s">
        <v>117</v>
      </c>
      <c r="H400">
        <v>1220</v>
      </c>
      <c r="I400">
        <v>1</v>
      </c>
      <c r="J400">
        <v>0.2</v>
      </c>
      <c r="K400">
        <v>180</v>
      </c>
      <c r="L400" t="s">
        <v>26</v>
      </c>
    </row>
    <row r="401" spans="1:12" x14ac:dyDescent="0.3">
      <c r="A401" t="s">
        <v>1474</v>
      </c>
      <c r="B401" t="s">
        <v>1475</v>
      </c>
      <c r="C401" t="s">
        <v>1476</v>
      </c>
      <c r="D401" t="s">
        <v>1477</v>
      </c>
      <c r="E401" t="s">
        <v>157</v>
      </c>
      <c r="F401" t="s">
        <v>16</v>
      </c>
      <c r="G401" t="s">
        <v>123</v>
      </c>
      <c r="H401">
        <v>820</v>
      </c>
      <c r="I401">
        <v>1</v>
      </c>
      <c r="J401">
        <v>0</v>
      </c>
      <c r="K401">
        <v>110</v>
      </c>
      <c r="L401" t="s">
        <v>40</v>
      </c>
    </row>
    <row r="402" spans="1:12" x14ac:dyDescent="0.3">
      <c r="A402" t="s">
        <v>1478</v>
      </c>
      <c r="B402" t="s">
        <v>1479</v>
      </c>
      <c r="C402" t="s">
        <v>1480</v>
      </c>
      <c r="D402" t="s">
        <v>1481</v>
      </c>
      <c r="E402" t="s">
        <v>157</v>
      </c>
      <c r="F402" t="s">
        <v>45</v>
      </c>
      <c r="G402" t="s">
        <v>129</v>
      </c>
      <c r="H402">
        <v>52</v>
      </c>
      <c r="I402">
        <v>3</v>
      </c>
      <c r="J402">
        <v>0</v>
      </c>
      <c r="K402">
        <v>16</v>
      </c>
      <c r="L402" t="s">
        <v>26</v>
      </c>
    </row>
    <row r="403" spans="1:12" x14ac:dyDescent="0.3">
      <c r="A403" t="s">
        <v>1482</v>
      </c>
      <c r="B403" t="s">
        <v>1483</v>
      </c>
      <c r="C403" t="s">
        <v>1484</v>
      </c>
      <c r="D403" t="s">
        <v>1485</v>
      </c>
      <c r="E403" t="s">
        <v>157</v>
      </c>
      <c r="F403" t="s">
        <v>32</v>
      </c>
      <c r="G403" t="s">
        <v>135</v>
      </c>
      <c r="H403">
        <v>-520</v>
      </c>
      <c r="I403">
        <v>1</v>
      </c>
      <c r="J403">
        <v>0</v>
      </c>
      <c r="K403">
        <v>-42</v>
      </c>
      <c r="L403" t="s">
        <v>18</v>
      </c>
    </row>
    <row r="404" spans="1:12" x14ac:dyDescent="0.3">
      <c r="A404" t="s">
        <v>1486</v>
      </c>
      <c r="B404" t="s">
        <v>1487</v>
      </c>
      <c r="C404" t="s">
        <v>1488</v>
      </c>
      <c r="D404" t="s">
        <v>1489</v>
      </c>
      <c r="E404" t="s">
        <v>157</v>
      </c>
      <c r="F404" t="s">
        <v>16</v>
      </c>
      <c r="G404" t="s">
        <v>141</v>
      </c>
      <c r="H404">
        <v>102</v>
      </c>
      <c r="I404">
        <v>2</v>
      </c>
      <c r="J404">
        <v>0.1</v>
      </c>
      <c r="K404">
        <v>35</v>
      </c>
      <c r="L404" t="s">
        <v>26</v>
      </c>
    </row>
    <row r="405" spans="1:12" x14ac:dyDescent="0.3">
      <c r="A405" t="s">
        <v>1490</v>
      </c>
      <c r="B405" t="s">
        <v>1491</v>
      </c>
      <c r="C405" t="s">
        <v>1492</v>
      </c>
      <c r="D405" t="s">
        <v>1493</v>
      </c>
      <c r="E405" t="s">
        <v>157</v>
      </c>
      <c r="F405" t="s">
        <v>45</v>
      </c>
      <c r="G405" t="s">
        <v>146</v>
      </c>
      <c r="H405">
        <v>35</v>
      </c>
      <c r="I405">
        <v>5</v>
      </c>
      <c r="J405">
        <v>0</v>
      </c>
      <c r="K405">
        <v>16</v>
      </c>
      <c r="L405" t="s">
        <v>18</v>
      </c>
    </row>
    <row r="406" spans="1:12" x14ac:dyDescent="0.3">
      <c r="A406" t="s">
        <v>1494</v>
      </c>
      <c r="B406" t="s">
        <v>1495</v>
      </c>
      <c r="C406" t="s">
        <v>1496</v>
      </c>
      <c r="D406" t="s">
        <v>1497</v>
      </c>
      <c r="E406" t="s">
        <v>157</v>
      </c>
      <c r="F406" t="s">
        <v>32</v>
      </c>
      <c r="G406" t="s">
        <v>152</v>
      </c>
      <c r="H406">
        <v>62</v>
      </c>
      <c r="I406">
        <v>4</v>
      </c>
      <c r="J406">
        <v>0</v>
      </c>
      <c r="K406">
        <v>22</v>
      </c>
      <c r="L406" t="s">
        <v>26</v>
      </c>
    </row>
    <row r="407" spans="1:12" x14ac:dyDescent="0.3">
      <c r="A407" t="s">
        <v>1498</v>
      </c>
      <c r="B407" t="s">
        <v>1499</v>
      </c>
      <c r="C407" t="s">
        <v>1500</v>
      </c>
      <c r="D407" t="s">
        <v>1501</v>
      </c>
      <c r="E407" t="s">
        <v>157</v>
      </c>
      <c r="F407" t="s">
        <v>16</v>
      </c>
      <c r="G407" t="s">
        <v>158</v>
      </c>
      <c r="H407">
        <v>72</v>
      </c>
      <c r="I407">
        <v>2</v>
      </c>
      <c r="J407">
        <v>0</v>
      </c>
      <c r="K407">
        <v>22</v>
      </c>
      <c r="L407" t="s">
        <v>18</v>
      </c>
    </row>
    <row r="408" spans="1:12" x14ac:dyDescent="0.3">
      <c r="A408" t="s">
        <v>1502</v>
      </c>
      <c r="B408" t="s">
        <v>1503</v>
      </c>
      <c r="C408" t="s">
        <v>1504</v>
      </c>
      <c r="D408" t="s">
        <v>30</v>
      </c>
      <c r="E408" t="s">
        <v>157</v>
      </c>
      <c r="F408" t="s">
        <v>45</v>
      </c>
      <c r="G408" t="s">
        <v>163</v>
      </c>
      <c r="H408">
        <v>42</v>
      </c>
      <c r="I408">
        <v>1</v>
      </c>
      <c r="J408">
        <v>0</v>
      </c>
      <c r="K408">
        <v>16</v>
      </c>
      <c r="L408" t="s">
        <v>26</v>
      </c>
    </row>
    <row r="409" spans="1:12" x14ac:dyDescent="0.3">
      <c r="A409" t="s">
        <v>1505</v>
      </c>
      <c r="B409" t="s">
        <v>1506</v>
      </c>
      <c r="C409" t="s">
        <v>1507</v>
      </c>
      <c r="D409" t="s">
        <v>1508</v>
      </c>
      <c r="E409" t="s">
        <v>157</v>
      </c>
      <c r="F409" t="s">
        <v>32</v>
      </c>
      <c r="G409" t="s">
        <v>168</v>
      </c>
      <c r="H409">
        <v>82</v>
      </c>
      <c r="I409">
        <v>2</v>
      </c>
      <c r="J409">
        <v>0.1</v>
      </c>
      <c r="K409">
        <v>22</v>
      </c>
      <c r="L409" t="s">
        <v>18</v>
      </c>
    </row>
    <row r="410" spans="1:12" x14ac:dyDescent="0.3">
      <c r="A410" t="s">
        <v>1509</v>
      </c>
      <c r="B410" t="s">
        <v>1510</v>
      </c>
      <c r="C410" t="s">
        <v>1511</v>
      </c>
      <c r="D410" t="s">
        <v>1512</v>
      </c>
      <c r="E410" t="s">
        <v>157</v>
      </c>
      <c r="F410" t="s">
        <v>16</v>
      </c>
      <c r="G410" t="s">
        <v>174</v>
      </c>
      <c r="H410">
        <v>47</v>
      </c>
      <c r="I410">
        <v>3</v>
      </c>
      <c r="J410">
        <v>0</v>
      </c>
      <c r="K410">
        <v>16</v>
      </c>
      <c r="L410" t="s">
        <v>74</v>
      </c>
    </row>
    <row r="411" spans="1:12" x14ac:dyDescent="0.3">
      <c r="A411" t="s">
        <v>1513</v>
      </c>
      <c r="B411" t="s">
        <v>1514</v>
      </c>
      <c r="C411" t="s">
        <v>1515</v>
      </c>
      <c r="D411" t="s">
        <v>167</v>
      </c>
      <c r="E411" t="s">
        <v>151</v>
      </c>
      <c r="F411" t="s">
        <v>16</v>
      </c>
      <c r="G411" t="s">
        <v>17</v>
      </c>
      <c r="H411">
        <v>1300</v>
      </c>
      <c r="I411">
        <v>1</v>
      </c>
      <c r="J411">
        <v>0.1</v>
      </c>
      <c r="K411">
        <v>172</v>
      </c>
      <c r="L411" t="s">
        <v>18</v>
      </c>
    </row>
    <row r="412" spans="1:12" x14ac:dyDescent="0.3">
      <c r="A412" t="s">
        <v>1516</v>
      </c>
      <c r="B412" t="s">
        <v>1517</v>
      </c>
      <c r="C412" t="s">
        <v>1518</v>
      </c>
      <c r="D412" t="s">
        <v>1519</v>
      </c>
      <c r="E412" t="s">
        <v>151</v>
      </c>
      <c r="F412" t="s">
        <v>24</v>
      </c>
      <c r="G412" t="s">
        <v>25</v>
      </c>
      <c r="H412">
        <v>36</v>
      </c>
      <c r="I412">
        <v>2</v>
      </c>
      <c r="J412">
        <v>0</v>
      </c>
      <c r="K412">
        <v>21</v>
      </c>
      <c r="L412" t="s">
        <v>26</v>
      </c>
    </row>
    <row r="413" spans="1:12" x14ac:dyDescent="0.3">
      <c r="A413" t="s">
        <v>1520</v>
      </c>
      <c r="B413" t="s">
        <v>1521</v>
      </c>
      <c r="C413" t="s">
        <v>1522</v>
      </c>
      <c r="D413" t="s">
        <v>30</v>
      </c>
      <c r="E413" t="s">
        <v>151</v>
      </c>
      <c r="F413" t="s">
        <v>32</v>
      </c>
      <c r="G413" t="s">
        <v>33</v>
      </c>
      <c r="H413">
        <v>-610</v>
      </c>
      <c r="I413">
        <v>1</v>
      </c>
      <c r="J413">
        <v>0</v>
      </c>
      <c r="K413">
        <v>-72</v>
      </c>
      <c r="L413" t="s">
        <v>18</v>
      </c>
    </row>
    <row r="414" spans="1:12" x14ac:dyDescent="0.3">
      <c r="A414" t="s">
        <v>1498</v>
      </c>
      <c r="B414" t="s">
        <v>1499</v>
      </c>
      <c r="C414" t="s">
        <v>1500</v>
      </c>
      <c r="D414" t="s">
        <v>1501</v>
      </c>
      <c r="E414" t="s">
        <v>157</v>
      </c>
      <c r="F414" t="s">
        <v>16</v>
      </c>
      <c r="G414" t="s">
        <v>158</v>
      </c>
      <c r="H414">
        <v>72</v>
      </c>
      <c r="I414">
        <v>2</v>
      </c>
      <c r="J414">
        <v>0</v>
      </c>
      <c r="K414">
        <v>22</v>
      </c>
      <c r="L414" t="s">
        <v>18</v>
      </c>
    </row>
    <row r="415" spans="1:12" x14ac:dyDescent="0.3">
      <c r="A415" t="s">
        <v>1523</v>
      </c>
      <c r="B415" t="s">
        <v>1524</v>
      </c>
      <c r="C415" t="s">
        <v>1525</v>
      </c>
      <c r="D415" t="s">
        <v>1526</v>
      </c>
      <c r="E415" t="s">
        <v>151</v>
      </c>
      <c r="F415" t="s">
        <v>16</v>
      </c>
      <c r="G415" t="s">
        <v>39</v>
      </c>
      <c r="H415">
        <v>1020</v>
      </c>
      <c r="I415">
        <v>1</v>
      </c>
      <c r="J415">
        <v>0.05</v>
      </c>
      <c r="K415">
        <v>132</v>
      </c>
      <c r="L415" t="s">
        <v>40</v>
      </c>
    </row>
    <row r="416" spans="1:12" x14ac:dyDescent="0.3">
      <c r="A416" t="s">
        <v>1527</v>
      </c>
      <c r="B416" t="s">
        <v>1528</v>
      </c>
      <c r="C416" t="s">
        <v>1529</v>
      </c>
      <c r="D416" t="s">
        <v>1530</v>
      </c>
      <c r="E416" t="s">
        <v>151</v>
      </c>
      <c r="F416" t="s">
        <v>45</v>
      </c>
      <c r="G416" t="s">
        <v>46</v>
      </c>
      <c r="H416">
        <v>74</v>
      </c>
      <c r="I416">
        <v>3</v>
      </c>
      <c r="J416">
        <v>0</v>
      </c>
      <c r="K416">
        <v>37</v>
      </c>
      <c r="L416" t="s">
        <v>26</v>
      </c>
    </row>
    <row r="417" spans="1:12" x14ac:dyDescent="0.3">
      <c r="A417" t="s">
        <v>1531</v>
      </c>
      <c r="B417" t="s">
        <v>1532</v>
      </c>
      <c r="C417" t="s">
        <v>1533</v>
      </c>
      <c r="D417" t="s">
        <v>1534</v>
      </c>
      <c r="E417" t="s">
        <v>151</v>
      </c>
      <c r="F417" t="s">
        <v>52</v>
      </c>
      <c r="G417" t="s">
        <v>53</v>
      </c>
      <c r="H417">
        <v>182</v>
      </c>
      <c r="I417">
        <v>4</v>
      </c>
      <c r="J417">
        <v>0.1</v>
      </c>
      <c r="K417">
        <v>40</v>
      </c>
      <c r="L417" t="s">
        <v>26</v>
      </c>
    </row>
    <row r="418" spans="1:12" x14ac:dyDescent="0.3">
      <c r="A418" t="s">
        <v>1535</v>
      </c>
      <c r="B418" t="s">
        <v>1536</v>
      </c>
      <c r="C418" t="s">
        <v>1537</v>
      </c>
      <c r="D418" t="s">
        <v>1538</v>
      </c>
      <c r="E418" t="s">
        <v>151</v>
      </c>
      <c r="F418" t="s">
        <v>16</v>
      </c>
      <c r="G418" t="s">
        <v>59</v>
      </c>
      <c r="H418">
        <v>332</v>
      </c>
      <c r="I418">
        <v>2</v>
      </c>
      <c r="J418">
        <v>0</v>
      </c>
      <c r="K418">
        <v>64</v>
      </c>
      <c r="L418" t="s">
        <v>18</v>
      </c>
    </row>
    <row r="419" spans="1:12" x14ac:dyDescent="0.3">
      <c r="A419" t="s">
        <v>1539</v>
      </c>
      <c r="B419" t="s">
        <v>1540</v>
      </c>
      <c r="C419" t="s">
        <v>1541</v>
      </c>
      <c r="D419" t="s">
        <v>30</v>
      </c>
      <c r="E419" t="s">
        <v>151</v>
      </c>
      <c r="F419" t="s">
        <v>45</v>
      </c>
      <c r="G419" t="s">
        <v>63</v>
      </c>
      <c r="H419">
        <v>102</v>
      </c>
      <c r="I419">
        <v>1</v>
      </c>
      <c r="J419">
        <v>0.2</v>
      </c>
      <c r="K419">
        <v>37</v>
      </c>
      <c r="L419" t="s">
        <v>26</v>
      </c>
    </row>
    <row r="420" spans="1:12" x14ac:dyDescent="0.3">
      <c r="A420" t="s">
        <v>1542</v>
      </c>
      <c r="B420" t="s">
        <v>1543</v>
      </c>
      <c r="C420" t="s">
        <v>1544</v>
      </c>
      <c r="D420" t="s">
        <v>1545</v>
      </c>
      <c r="E420" t="s">
        <v>151</v>
      </c>
      <c r="F420" t="s">
        <v>32</v>
      </c>
      <c r="G420" t="s">
        <v>68</v>
      </c>
      <c r="H420">
        <v>1120</v>
      </c>
      <c r="I420">
        <v>1</v>
      </c>
      <c r="J420">
        <v>0.15</v>
      </c>
      <c r="K420">
        <v>132</v>
      </c>
      <c r="L420" t="s">
        <v>18</v>
      </c>
    </row>
    <row r="421" spans="1:12" x14ac:dyDescent="0.3">
      <c r="A421" t="s">
        <v>1546</v>
      </c>
      <c r="B421" t="s">
        <v>1547</v>
      </c>
      <c r="C421" t="s">
        <v>1548</v>
      </c>
      <c r="D421" t="s">
        <v>1549</v>
      </c>
      <c r="E421" t="s">
        <v>151</v>
      </c>
      <c r="F421" t="s">
        <v>16</v>
      </c>
      <c r="G421" t="s">
        <v>73</v>
      </c>
      <c r="H421">
        <v>132</v>
      </c>
      <c r="I421">
        <v>0</v>
      </c>
      <c r="J421">
        <v>0</v>
      </c>
      <c r="K421">
        <v>44</v>
      </c>
      <c r="L421" t="s">
        <v>74</v>
      </c>
    </row>
    <row r="422" spans="1:12" x14ac:dyDescent="0.3">
      <c r="A422" t="s">
        <v>1550</v>
      </c>
      <c r="B422" t="s">
        <v>1551</v>
      </c>
      <c r="C422" t="s">
        <v>1552</v>
      </c>
      <c r="D422" t="s">
        <v>1553</v>
      </c>
      <c r="E422" t="s">
        <v>151</v>
      </c>
      <c r="F422" t="s">
        <v>45</v>
      </c>
      <c r="G422" t="s">
        <v>79</v>
      </c>
      <c r="H422">
        <v>152</v>
      </c>
      <c r="I422">
        <v>-1</v>
      </c>
      <c r="J422">
        <v>0</v>
      </c>
      <c r="K422">
        <v>54</v>
      </c>
      <c r="L422" t="s">
        <v>18</v>
      </c>
    </row>
    <row r="423" spans="1:12" x14ac:dyDescent="0.3">
      <c r="A423" t="s">
        <v>1554</v>
      </c>
      <c r="B423" t="s">
        <v>1555</v>
      </c>
      <c r="C423" t="s">
        <v>1556</v>
      </c>
      <c r="D423" t="s">
        <v>1557</v>
      </c>
      <c r="E423" t="s">
        <v>151</v>
      </c>
      <c r="F423" t="s">
        <v>32</v>
      </c>
      <c r="G423" t="s">
        <v>84</v>
      </c>
      <c r="H423">
        <v>382</v>
      </c>
      <c r="I423">
        <v>1</v>
      </c>
      <c r="J423">
        <v>0.1</v>
      </c>
      <c r="K423">
        <v>64</v>
      </c>
      <c r="L423" t="s">
        <v>26</v>
      </c>
    </row>
    <row r="424" spans="1:12" x14ac:dyDescent="0.3">
      <c r="A424" t="s">
        <v>1558</v>
      </c>
      <c r="B424" t="s">
        <v>1559</v>
      </c>
      <c r="C424" t="s">
        <v>1560</v>
      </c>
      <c r="D424" t="s">
        <v>1561</v>
      </c>
      <c r="E424" t="s">
        <v>151</v>
      </c>
      <c r="F424" t="s">
        <v>16</v>
      </c>
      <c r="G424" t="s">
        <v>89</v>
      </c>
      <c r="H424">
        <v>282</v>
      </c>
      <c r="I424">
        <v>2</v>
      </c>
      <c r="J424">
        <v>0.05</v>
      </c>
      <c r="K424">
        <v>54</v>
      </c>
      <c r="L424" t="s">
        <v>18</v>
      </c>
    </row>
    <row r="425" spans="1:12" x14ac:dyDescent="0.3">
      <c r="A425" t="s">
        <v>1562</v>
      </c>
      <c r="B425" t="s">
        <v>1563</v>
      </c>
      <c r="C425" t="s">
        <v>1564</v>
      </c>
      <c r="D425" t="s">
        <v>1565</v>
      </c>
      <c r="E425" t="s">
        <v>151</v>
      </c>
      <c r="F425" t="s">
        <v>45</v>
      </c>
      <c r="G425" t="s">
        <v>95</v>
      </c>
      <c r="H425">
        <v>182</v>
      </c>
      <c r="I425">
        <v>1</v>
      </c>
      <c r="J425">
        <v>0</v>
      </c>
      <c r="K425">
        <v>49</v>
      </c>
      <c r="L425" t="s">
        <v>26</v>
      </c>
    </row>
    <row r="426" spans="1:12" x14ac:dyDescent="0.3">
      <c r="A426" t="s">
        <v>1566</v>
      </c>
      <c r="B426" t="s">
        <v>1567</v>
      </c>
      <c r="C426" t="s">
        <v>1568</v>
      </c>
      <c r="D426" t="s">
        <v>1569</v>
      </c>
      <c r="E426" t="s">
        <v>151</v>
      </c>
      <c r="F426" t="s">
        <v>32</v>
      </c>
      <c r="G426" t="s">
        <v>100</v>
      </c>
      <c r="H426">
        <v>232</v>
      </c>
      <c r="I426">
        <v>1</v>
      </c>
      <c r="J426">
        <v>0.1</v>
      </c>
      <c r="K426">
        <v>44</v>
      </c>
      <c r="L426" t="s">
        <v>18</v>
      </c>
    </row>
    <row r="427" spans="1:12" x14ac:dyDescent="0.3">
      <c r="A427" t="s">
        <v>1570</v>
      </c>
      <c r="B427" t="s">
        <v>1571</v>
      </c>
      <c r="C427" t="s">
        <v>1572</v>
      </c>
      <c r="D427" t="s">
        <v>1573</v>
      </c>
      <c r="E427" t="s">
        <v>151</v>
      </c>
      <c r="F427" t="s">
        <v>16</v>
      </c>
      <c r="G427" t="s">
        <v>106</v>
      </c>
      <c r="H427">
        <v>232</v>
      </c>
      <c r="I427">
        <v>1</v>
      </c>
      <c r="J427">
        <v>0</v>
      </c>
      <c r="K427">
        <v>64</v>
      </c>
      <c r="L427" t="s">
        <v>26</v>
      </c>
    </row>
    <row r="428" spans="1:12" x14ac:dyDescent="0.3">
      <c r="A428" t="s">
        <v>1574</v>
      </c>
      <c r="B428" t="s">
        <v>1575</v>
      </c>
      <c r="C428" t="s">
        <v>1576</v>
      </c>
      <c r="D428" t="s">
        <v>1577</v>
      </c>
      <c r="E428" t="s">
        <v>151</v>
      </c>
      <c r="F428" t="s">
        <v>45</v>
      </c>
      <c r="G428" t="s">
        <v>112</v>
      </c>
      <c r="H428">
        <v>84</v>
      </c>
      <c r="I428">
        <v>2</v>
      </c>
      <c r="J428">
        <v>0.1</v>
      </c>
      <c r="K428">
        <v>23</v>
      </c>
      <c r="L428" t="s">
        <v>18</v>
      </c>
    </row>
    <row r="429" spans="1:12" x14ac:dyDescent="0.3">
      <c r="A429" t="s">
        <v>1578</v>
      </c>
      <c r="B429" t="s">
        <v>1579</v>
      </c>
      <c r="C429" t="s">
        <v>1580</v>
      </c>
      <c r="D429" t="s">
        <v>30</v>
      </c>
      <c r="E429" t="s">
        <v>151</v>
      </c>
      <c r="F429" t="s">
        <v>32</v>
      </c>
      <c r="G429" t="s">
        <v>117</v>
      </c>
      <c r="H429">
        <v>1240</v>
      </c>
      <c r="I429">
        <v>1</v>
      </c>
      <c r="J429">
        <v>0.2</v>
      </c>
      <c r="K429">
        <v>182</v>
      </c>
      <c r="L429" t="s">
        <v>26</v>
      </c>
    </row>
    <row r="430" spans="1:12" x14ac:dyDescent="0.3">
      <c r="A430" t="s">
        <v>1581</v>
      </c>
      <c r="B430" t="s">
        <v>1582</v>
      </c>
      <c r="C430" t="s">
        <v>1583</v>
      </c>
      <c r="D430" t="s">
        <v>1584</v>
      </c>
      <c r="E430" t="s">
        <v>151</v>
      </c>
      <c r="F430" t="s">
        <v>16</v>
      </c>
      <c r="G430" t="s">
        <v>123</v>
      </c>
      <c r="H430">
        <v>840</v>
      </c>
      <c r="I430">
        <v>1</v>
      </c>
      <c r="J430">
        <v>0</v>
      </c>
      <c r="K430">
        <v>112</v>
      </c>
      <c r="L430" t="s">
        <v>40</v>
      </c>
    </row>
    <row r="431" spans="1:12" x14ac:dyDescent="0.3">
      <c r="A431" t="s">
        <v>1585</v>
      </c>
      <c r="B431" t="s">
        <v>1586</v>
      </c>
      <c r="C431" t="s">
        <v>1587</v>
      </c>
      <c r="D431" t="s">
        <v>1588</v>
      </c>
      <c r="E431" t="s">
        <v>151</v>
      </c>
      <c r="F431" t="s">
        <v>45</v>
      </c>
      <c r="G431" t="s">
        <v>129</v>
      </c>
      <c r="H431">
        <v>54</v>
      </c>
      <c r="I431">
        <v>3</v>
      </c>
      <c r="J431">
        <v>0</v>
      </c>
      <c r="K431">
        <v>17</v>
      </c>
      <c r="L431" t="s">
        <v>26</v>
      </c>
    </row>
    <row r="432" spans="1:12" x14ac:dyDescent="0.3">
      <c r="A432" t="s">
        <v>1589</v>
      </c>
      <c r="B432" t="s">
        <v>1590</v>
      </c>
      <c r="C432" t="s">
        <v>1591</v>
      </c>
      <c r="D432" t="s">
        <v>1592</v>
      </c>
      <c r="E432" t="s">
        <v>151</v>
      </c>
      <c r="F432" t="s">
        <v>32</v>
      </c>
      <c r="G432" t="s">
        <v>135</v>
      </c>
      <c r="H432">
        <v>-540</v>
      </c>
      <c r="I432">
        <v>1</v>
      </c>
      <c r="J432">
        <v>0</v>
      </c>
      <c r="K432">
        <v>-44</v>
      </c>
      <c r="L432" t="s">
        <v>18</v>
      </c>
    </row>
    <row r="433" spans="1:12" x14ac:dyDescent="0.3">
      <c r="A433" t="s">
        <v>1593</v>
      </c>
      <c r="B433" t="s">
        <v>1594</v>
      </c>
      <c r="C433" t="s">
        <v>1595</v>
      </c>
      <c r="D433" t="s">
        <v>1596</v>
      </c>
      <c r="E433" t="s">
        <v>151</v>
      </c>
      <c r="F433" t="s">
        <v>16</v>
      </c>
      <c r="G433" t="s">
        <v>141</v>
      </c>
      <c r="H433">
        <v>104</v>
      </c>
      <c r="I433">
        <v>2</v>
      </c>
      <c r="J433">
        <v>0.1</v>
      </c>
      <c r="K433">
        <v>37</v>
      </c>
      <c r="L433" t="s">
        <v>26</v>
      </c>
    </row>
    <row r="434" spans="1:12" x14ac:dyDescent="0.3">
      <c r="A434" t="s">
        <v>1597</v>
      </c>
      <c r="B434" t="s">
        <v>1598</v>
      </c>
      <c r="C434" t="s">
        <v>1599</v>
      </c>
      <c r="D434" t="s">
        <v>1600</v>
      </c>
      <c r="E434" t="s">
        <v>151</v>
      </c>
      <c r="F434" t="s">
        <v>45</v>
      </c>
      <c r="G434" t="s">
        <v>146</v>
      </c>
      <c r="H434">
        <v>37</v>
      </c>
      <c r="I434">
        <v>5</v>
      </c>
      <c r="J434">
        <v>0</v>
      </c>
      <c r="K434">
        <v>17</v>
      </c>
      <c r="L434" t="s">
        <v>18</v>
      </c>
    </row>
    <row r="435" spans="1:12" x14ac:dyDescent="0.3">
      <c r="A435" t="s">
        <v>1601</v>
      </c>
      <c r="B435" t="s">
        <v>1602</v>
      </c>
      <c r="C435" t="s">
        <v>1603</v>
      </c>
      <c r="D435" t="s">
        <v>1604</v>
      </c>
      <c r="E435" t="s">
        <v>151</v>
      </c>
      <c r="F435" t="s">
        <v>32</v>
      </c>
      <c r="G435" t="s">
        <v>152</v>
      </c>
      <c r="H435">
        <v>64</v>
      </c>
      <c r="I435">
        <v>4</v>
      </c>
      <c r="J435">
        <v>0</v>
      </c>
      <c r="K435">
        <v>23</v>
      </c>
      <c r="L435" t="s">
        <v>26</v>
      </c>
    </row>
    <row r="436" spans="1:12" x14ac:dyDescent="0.3">
      <c r="A436" t="s">
        <v>1605</v>
      </c>
      <c r="B436" t="s">
        <v>1606</v>
      </c>
      <c r="C436" t="s">
        <v>1607</v>
      </c>
      <c r="D436" t="s">
        <v>681</v>
      </c>
      <c r="E436" t="s">
        <v>151</v>
      </c>
      <c r="F436" t="s">
        <v>16</v>
      </c>
      <c r="G436" t="s">
        <v>158</v>
      </c>
      <c r="H436">
        <v>74</v>
      </c>
      <c r="I436">
        <v>2</v>
      </c>
      <c r="J436">
        <v>0</v>
      </c>
      <c r="K436">
        <v>23</v>
      </c>
      <c r="L436" t="s">
        <v>18</v>
      </c>
    </row>
    <row r="437" spans="1:12" x14ac:dyDescent="0.3">
      <c r="A437" t="s">
        <v>1608</v>
      </c>
      <c r="B437" t="s">
        <v>1609</v>
      </c>
      <c r="C437" t="s">
        <v>1610</v>
      </c>
      <c r="D437" t="s">
        <v>30</v>
      </c>
      <c r="E437" t="s">
        <v>151</v>
      </c>
      <c r="F437" t="s">
        <v>45</v>
      </c>
      <c r="G437" t="s">
        <v>163</v>
      </c>
      <c r="H437">
        <v>44</v>
      </c>
      <c r="I437">
        <v>1</v>
      </c>
      <c r="J437">
        <v>0</v>
      </c>
      <c r="K437">
        <v>17</v>
      </c>
      <c r="L437" t="s">
        <v>26</v>
      </c>
    </row>
    <row r="438" spans="1:12" x14ac:dyDescent="0.3">
      <c r="A438" t="s">
        <v>1589</v>
      </c>
      <c r="B438" t="s">
        <v>1590</v>
      </c>
      <c r="C438" t="s">
        <v>1591</v>
      </c>
      <c r="D438" t="s">
        <v>1592</v>
      </c>
      <c r="E438" t="s">
        <v>151</v>
      </c>
      <c r="F438" t="s">
        <v>32</v>
      </c>
      <c r="G438" t="s">
        <v>135</v>
      </c>
      <c r="H438">
        <v>-540</v>
      </c>
      <c r="I438">
        <v>1</v>
      </c>
      <c r="J438">
        <v>0</v>
      </c>
      <c r="K438">
        <v>-44</v>
      </c>
      <c r="L438" t="s">
        <v>18</v>
      </c>
    </row>
    <row r="439" spans="1:12" x14ac:dyDescent="0.3">
      <c r="A439" t="s">
        <v>1611</v>
      </c>
      <c r="B439" t="s">
        <v>1612</v>
      </c>
      <c r="C439" t="s">
        <v>1613</v>
      </c>
      <c r="D439" t="s">
        <v>1614</v>
      </c>
      <c r="E439" t="s">
        <v>151</v>
      </c>
      <c r="F439" t="s">
        <v>32</v>
      </c>
      <c r="G439" t="s">
        <v>168</v>
      </c>
      <c r="H439">
        <v>84</v>
      </c>
      <c r="I439">
        <v>2</v>
      </c>
      <c r="J439">
        <v>0.1</v>
      </c>
      <c r="K439">
        <v>23</v>
      </c>
      <c r="L439" t="s">
        <v>18</v>
      </c>
    </row>
    <row r="440" spans="1:12" x14ac:dyDescent="0.3">
      <c r="A440" t="s">
        <v>1615</v>
      </c>
      <c r="B440" t="s">
        <v>1616</v>
      </c>
      <c r="C440" t="s">
        <v>1617</v>
      </c>
      <c r="D440" t="s">
        <v>1618</v>
      </c>
      <c r="E440" t="s">
        <v>151</v>
      </c>
      <c r="F440" t="s">
        <v>16</v>
      </c>
      <c r="G440" t="s">
        <v>174</v>
      </c>
      <c r="H440">
        <v>49</v>
      </c>
      <c r="I440">
        <v>3</v>
      </c>
      <c r="J440">
        <v>0</v>
      </c>
      <c r="K440">
        <v>17</v>
      </c>
      <c r="L440" t="s">
        <v>74</v>
      </c>
    </row>
    <row r="441" spans="1:12" x14ac:dyDescent="0.3">
      <c r="A441" t="s">
        <v>1619</v>
      </c>
      <c r="B441" t="s">
        <v>1620</v>
      </c>
      <c r="C441" t="s">
        <v>1621</v>
      </c>
      <c r="D441" t="s">
        <v>172</v>
      </c>
      <c r="E441" t="s">
        <v>173</v>
      </c>
      <c r="F441" t="s">
        <v>16</v>
      </c>
      <c r="G441" t="s">
        <v>17</v>
      </c>
      <c r="H441">
        <v>1310</v>
      </c>
      <c r="I441">
        <v>1</v>
      </c>
      <c r="J441">
        <v>0.1</v>
      </c>
      <c r="K441">
        <v>174</v>
      </c>
      <c r="L441" t="s">
        <v>18</v>
      </c>
    </row>
    <row r="442" spans="1:12" x14ac:dyDescent="0.3">
      <c r="A442" t="s">
        <v>1622</v>
      </c>
      <c r="B442" t="s">
        <v>1623</v>
      </c>
      <c r="C442" t="s">
        <v>1624</v>
      </c>
      <c r="D442" t="s">
        <v>1625</v>
      </c>
      <c r="E442" t="s">
        <v>173</v>
      </c>
      <c r="F442" t="s">
        <v>24</v>
      </c>
      <c r="G442" t="s">
        <v>25</v>
      </c>
      <c r="H442">
        <v>37</v>
      </c>
      <c r="I442">
        <v>2</v>
      </c>
      <c r="J442">
        <v>0</v>
      </c>
      <c r="K442">
        <v>22</v>
      </c>
      <c r="L442" t="s">
        <v>26</v>
      </c>
    </row>
    <row r="443" spans="1:12" x14ac:dyDescent="0.3">
      <c r="A443" t="s">
        <v>1626</v>
      </c>
      <c r="B443" t="s">
        <v>1627</v>
      </c>
      <c r="C443" t="s">
        <v>1628</v>
      </c>
      <c r="D443" t="s">
        <v>30</v>
      </c>
      <c r="E443" t="s">
        <v>173</v>
      </c>
      <c r="F443" t="s">
        <v>32</v>
      </c>
      <c r="G443" t="s">
        <v>33</v>
      </c>
      <c r="H443">
        <v>-620</v>
      </c>
      <c r="I443">
        <v>1</v>
      </c>
      <c r="J443">
        <v>0</v>
      </c>
      <c r="K443">
        <v>-74</v>
      </c>
      <c r="L443" t="s">
        <v>18</v>
      </c>
    </row>
    <row r="444" spans="1:12" x14ac:dyDescent="0.3">
      <c r="A444" t="s">
        <v>1629</v>
      </c>
      <c r="B444" t="s">
        <v>1630</v>
      </c>
      <c r="C444" t="s">
        <v>1631</v>
      </c>
      <c r="D444" t="s">
        <v>1632</v>
      </c>
      <c r="E444" t="s">
        <v>173</v>
      </c>
      <c r="F444" t="s">
        <v>16</v>
      </c>
      <c r="G444" t="s">
        <v>39</v>
      </c>
      <c r="H444">
        <v>1040</v>
      </c>
      <c r="I444">
        <v>1</v>
      </c>
      <c r="J444">
        <v>0.05</v>
      </c>
      <c r="K444">
        <v>134</v>
      </c>
      <c r="L444" t="s">
        <v>40</v>
      </c>
    </row>
    <row r="445" spans="1:12" x14ac:dyDescent="0.3">
      <c r="A445" t="s">
        <v>1633</v>
      </c>
      <c r="B445" t="s">
        <v>1634</v>
      </c>
      <c r="C445" t="s">
        <v>1635</v>
      </c>
      <c r="D445" t="s">
        <v>1636</v>
      </c>
      <c r="E445" t="s">
        <v>173</v>
      </c>
      <c r="F445" t="s">
        <v>45</v>
      </c>
      <c r="G445" t="s">
        <v>46</v>
      </c>
      <c r="H445">
        <v>76</v>
      </c>
      <c r="I445">
        <v>3</v>
      </c>
      <c r="J445">
        <v>0</v>
      </c>
      <c r="K445">
        <v>39</v>
      </c>
      <c r="L445" t="s">
        <v>26</v>
      </c>
    </row>
    <row r="446" spans="1:12" x14ac:dyDescent="0.3">
      <c r="A446" t="s">
        <v>1637</v>
      </c>
      <c r="B446" t="s">
        <v>1638</v>
      </c>
      <c r="C446" t="s">
        <v>1639</v>
      </c>
      <c r="D446" t="s">
        <v>1640</v>
      </c>
      <c r="E446" t="s">
        <v>173</v>
      </c>
      <c r="F446" t="s">
        <v>52</v>
      </c>
      <c r="G446" t="s">
        <v>53</v>
      </c>
      <c r="H446">
        <v>184</v>
      </c>
      <c r="I446">
        <v>4</v>
      </c>
      <c r="J446">
        <v>0.1</v>
      </c>
      <c r="K446">
        <v>42</v>
      </c>
      <c r="L446" t="s">
        <v>26</v>
      </c>
    </row>
    <row r="447" spans="1:12" x14ac:dyDescent="0.3">
      <c r="A447" t="s">
        <v>1641</v>
      </c>
      <c r="B447" t="s">
        <v>1642</v>
      </c>
      <c r="C447" t="s">
        <v>1643</v>
      </c>
      <c r="D447" t="s">
        <v>1644</v>
      </c>
      <c r="E447" t="s">
        <v>173</v>
      </c>
      <c r="F447" t="s">
        <v>16</v>
      </c>
      <c r="G447" t="s">
        <v>59</v>
      </c>
      <c r="H447">
        <v>334</v>
      </c>
      <c r="I447">
        <v>2</v>
      </c>
      <c r="J447">
        <v>0</v>
      </c>
      <c r="K447">
        <v>66</v>
      </c>
      <c r="L447" t="s">
        <v>18</v>
      </c>
    </row>
    <row r="448" spans="1:12" x14ac:dyDescent="0.3">
      <c r="A448" t="s">
        <v>1645</v>
      </c>
      <c r="B448" t="s">
        <v>1646</v>
      </c>
      <c r="C448" t="s">
        <v>1647</v>
      </c>
      <c r="D448" t="s">
        <v>30</v>
      </c>
      <c r="E448" t="s">
        <v>173</v>
      </c>
      <c r="F448" t="s">
        <v>45</v>
      </c>
      <c r="G448" t="s">
        <v>63</v>
      </c>
      <c r="H448">
        <v>104</v>
      </c>
      <c r="I448">
        <v>1</v>
      </c>
      <c r="J448">
        <v>0.2</v>
      </c>
      <c r="K448">
        <v>39</v>
      </c>
      <c r="L448" t="s">
        <v>26</v>
      </c>
    </row>
    <row r="449" spans="1:12" x14ac:dyDescent="0.3">
      <c r="A449" t="s">
        <v>1648</v>
      </c>
      <c r="B449" t="s">
        <v>1649</v>
      </c>
      <c r="C449" t="s">
        <v>1650</v>
      </c>
      <c r="D449" t="s">
        <v>1651</v>
      </c>
      <c r="E449" t="s">
        <v>173</v>
      </c>
      <c r="F449" t="s">
        <v>32</v>
      </c>
      <c r="G449" t="s">
        <v>68</v>
      </c>
      <c r="H449">
        <v>1140</v>
      </c>
      <c r="I449">
        <v>1</v>
      </c>
      <c r="J449">
        <v>0.15</v>
      </c>
      <c r="K449">
        <v>134</v>
      </c>
      <c r="L449" t="s">
        <v>18</v>
      </c>
    </row>
    <row r="450" spans="1:12" x14ac:dyDescent="0.3">
      <c r="A450" t="s">
        <v>1652</v>
      </c>
      <c r="B450" t="s">
        <v>1653</v>
      </c>
      <c r="C450" t="s">
        <v>1654</v>
      </c>
      <c r="D450" t="s">
        <v>1655</v>
      </c>
      <c r="E450" t="s">
        <v>173</v>
      </c>
      <c r="F450" t="s">
        <v>16</v>
      </c>
      <c r="G450" t="s">
        <v>73</v>
      </c>
      <c r="H450">
        <v>134</v>
      </c>
      <c r="I450">
        <v>0</v>
      </c>
      <c r="J450">
        <v>0</v>
      </c>
      <c r="K450">
        <v>46</v>
      </c>
      <c r="L450" t="s">
        <v>74</v>
      </c>
    </row>
    <row r="451" spans="1:12" x14ac:dyDescent="0.3">
      <c r="A451" t="s">
        <v>1656</v>
      </c>
      <c r="B451" t="s">
        <v>1657</v>
      </c>
      <c r="C451" t="s">
        <v>1658</v>
      </c>
      <c r="D451" t="s">
        <v>1659</v>
      </c>
      <c r="E451" t="s">
        <v>173</v>
      </c>
      <c r="F451" t="s">
        <v>45</v>
      </c>
      <c r="G451" t="s">
        <v>79</v>
      </c>
      <c r="H451">
        <v>154</v>
      </c>
      <c r="I451">
        <v>-1</v>
      </c>
      <c r="J451">
        <v>0</v>
      </c>
      <c r="K451">
        <v>56</v>
      </c>
      <c r="L451" t="s">
        <v>18</v>
      </c>
    </row>
    <row r="452" spans="1:12" x14ac:dyDescent="0.3">
      <c r="A452" t="s">
        <v>1660</v>
      </c>
      <c r="B452" t="s">
        <v>1661</v>
      </c>
      <c r="C452" t="s">
        <v>1662</v>
      </c>
      <c r="D452" t="s">
        <v>1663</v>
      </c>
      <c r="E452" t="s">
        <v>173</v>
      </c>
      <c r="F452" t="s">
        <v>32</v>
      </c>
      <c r="G452" t="s">
        <v>84</v>
      </c>
      <c r="H452">
        <v>384</v>
      </c>
      <c r="I452">
        <v>1</v>
      </c>
      <c r="J452">
        <v>0.1</v>
      </c>
      <c r="K452">
        <v>66</v>
      </c>
      <c r="L452" t="s">
        <v>26</v>
      </c>
    </row>
    <row r="453" spans="1:12" x14ac:dyDescent="0.3">
      <c r="A453" t="s">
        <v>1664</v>
      </c>
      <c r="B453" t="s">
        <v>1665</v>
      </c>
      <c r="C453" t="s">
        <v>1666</v>
      </c>
      <c r="D453" t="s">
        <v>1667</v>
      </c>
      <c r="E453" t="s">
        <v>173</v>
      </c>
      <c r="F453" t="s">
        <v>16</v>
      </c>
      <c r="G453" t="s">
        <v>89</v>
      </c>
      <c r="H453">
        <v>284</v>
      </c>
      <c r="I453">
        <v>2</v>
      </c>
      <c r="J453">
        <v>0.05</v>
      </c>
      <c r="K453">
        <v>56</v>
      </c>
      <c r="L453" t="s">
        <v>18</v>
      </c>
    </row>
    <row r="454" spans="1:12" x14ac:dyDescent="0.3">
      <c r="A454" t="s">
        <v>1668</v>
      </c>
      <c r="B454" t="s">
        <v>1669</v>
      </c>
      <c r="C454" t="s">
        <v>1670</v>
      </c>
      <c r="D454" t="s">
        <v>1671</v>
      </c>
      <c r="E454" t="s">
        <v>173</v>
      </c>
      <c r="F454" t="s">
        <v>45</v>
      </c>
      <c r="G454" t="s">
        <v>95</v>
      </c>
      <c r="H454">
        <v>184</v>
      </c>
      <c r="I454">
        <v>1</v>
      </c>
      <c r="J454">
        <v>0</v>
      </c>
      <c r="K454">
        <v>51</v>
      </c>
      <c r="L454" t="s">
        <v>26</v>
      </c>
    </row>
    <row r="455" spans="1:12" x14ac:dyDescent="0.3">
      <c r="A455" t="s">
        <v>1672</v>
      </c>
      <c r="B455" t="s">
        <v>1673</v>
      </c>
      <c r="C455" t="s">
        <v>1674</v>
      </c>
      <c r="D455" t="s">
        <v>1675</v>
      </c>
      <c r="E455" t="s">
        <v>173</v>
      </c>
      <c r="F455" t="s">
        <v>32</v>
      </c>
      <c r="G455" t="s">
        <v>100</v>
      </c>
      <c r="H455">
        <v>234</v>
      </c>
      <c r="I455">
        <v>1</v>
      </c>
      <c r="J455">
        <v>0.1</v>
      </c>
      <c r="K455">
        <v>46</v>
      </c>
      <c r="L455" t="s">
        <v>18</v>
      </c>
    </row>
    <row r="456" spans="1:12" x14ac:dyDescent="0.3">
      <c r="A456" t="s">
        <v>1676</v>
      </c>
      <c r="B456" t="s">
        <v>1677</v>
      </c>
      <c r="C456" t="s">
        <v>1678</v>
      </c>
      <c r="D456" t="s">
        <v>1679</v>
      </c>
      <c r="E456" t="s">
        <v>173</v>
      </c>
      <c r="F456" t="s">
        <v>16</v>
      </c>
      <c r="G456" t="s">
        <v>106</v>
      </c>
      <c r="H456">
        <v>234</v>
      </c>
      <c r="I456">
        <v>1</v>
      </c>
      <c r="J456">
        <v>0</v>
      </c>
      <c r="K456">
        <v>66</v>
      </c>
      <c r="L456" t="s">
        <v>26</v>
      </c>
    </row>
    <row r="457" spans="1:12" x14ac:dyDescent="0.3">
      <c r="A457" t="s">
        <v>1680</v>
      </c>
      <c r="B457" t="s">
        <v>1681</v>
      </c>
      <c r="C457" t="s">
        <v>1682</v>
      </c>
      <c r="D457" t="s">
        <v>1683</v>
      </c>
      <c r="E457" t="s">
        <v>173</v>
      </c>
      <c r="F457" t="s">
        <v>45</v>
      </c>
      <c r="G457" t="s">
        <v>112</v>
      </c>
      <c r="H457">
        <v>86</v>
      </c>
      <c r="I457">
        <v>2</v>
      </c>
      <c r="J457">
        <v>0.1</v>
      </c>
      <c r="K457">
        <v>24</v>
      </c>
      <c r="L457" t="s">
        <v>18</v>
      </c>
    </row>
    <row r="458" spans="1:12" x14ac:dyDescent="0.3">
      <c r="A458" t="s">
        <v>1684</v>
      </c>
      <c r="B458" t="s">
        <v>1685</v>
      </c>
      <c r="C458" t="s">
        <v>1686</v>
      </c>
      <c r="D458" t="s">
        <v>30</v>
      </c>
      <c r="E458" t="s">
        <v>173</v>
      </c>
      <c r="F458" t="s">
        <v>32</v>
      </c>
      <c r="G458" t="s">
        <v>117</v>
      </c>
      <c r="H458">
        <v>1260</v>
      </c>
      <c r="I458">
        <v>1</v>
      </c>
      <c r="J458">
        <v>0.2</v>
      </c>
      <c r="K458">
        <v>184</v>
      </c>
      <c r="L458" t="s">
        <v>26</v>
      </c>
    </row>
    <row r="459" spans="1:12" x14ac:dyDescent="0.3">
      <c r="A459" t="s">
        <v>1676</v>
      </c>
      <c r="B459" t="s">
        <v>1677</v>
      </c>
      <c r="C459" t="s">
        <v>1678</v>
      </c>
      <c r="D459" t="s">
        <v>1679</v>
      </c>
      <c r="E459" t="s">
        <v>173</v>
      </c>
      <c r="F459" t="s">
        <v>16</v>
      </c>
      <c r="G459" t="s">
        <v>106</v>
      </c>
      <c r="H459">
        <v>234</v>
      </c>
      <c r="I459">
        <v>1</v>
      </c>
      <c r="J459">
        <v>0</v>
      </c>
      <c r="K459">
        <v>66</v>
      </c>
      <c r="L459" t="s">
        <v>26</v>
      </c>
    </row>
    <row r="460" spans="1:12" x14ac:dyDescent="0.3">
      <c r="A460" t="s">
        <v>1687</v>
      </c>
      <c r="B460" t="s">
        <v>1688</v>
      </c>
      <c r="C460" t="s">
        <v>1689</v>
      </c>
      <c r="D460" t="s">
        <v>1690</v>
      </c>
      <c r="E460" t="s">
        <v>173</v>
      </c>
      <c r="F460" t="s">
        <v>16</v>
      </c>
      <c r="G460" t="s">
        <v>123</v>
      </c>
      <c r="H460">
        <v>860</v>
      </c>
      <c r="I460">
        <v>1</v>
      </c>
      <c r="J460">
        <v>0</v>
      </c>
      <c r="K460">
        <v>114</v>
      </c>
      <c r="L460" t="s">
        <v>40</v>
      </c>
    </row>
    <row r="461" spans="1:12" x14ac:dyDescent="0.3">
      <c r="A461" t="s">
        <v>1691</v>
      </c>
      <c r="B461" t="s">
        <v>1692</v>
      </c>
      <c r="C461" t="s">
        <v>1693</v>
      </c>
      <c r="D461" t="s">
        <v>1694</v>
      </c>
      <c r="E461" t="s">
        <v>173</v>
      </c>
      <c r="F461" t="s">
        <v>45</v>
      </c>
      <c r="G461" t="s">
        <v>129</v>
      </c>
      <c r="H461">
        <v>56</v>
      </c>
      <c r="I461">
        <v>3</v>
      </c>
      <c r="J461">
        <v>0</v>
      </c>
      <c r="K461">
        <v>18</v>
      </c>
      <c r="L461" t="s">
        <v>26</v>
      </c>
    </row>
    <row r="462" spans="1:12" x14ac:dyDescent="0.3">
      <c r="A462" t="s">
        <v>1695</v>
      </c>
      <c r="B462" t="s">
        <v>1696</v>
      </c>
      <c r="C462" t="s">
        <v>1697</v>
      </c>
      <c r="D462" t="s">
        <v>1698</v>
      </c>
      <c r="E462" t="s">
        <v>173</v>
      </c>
      <c r="F462" t="s">
        <v>32</v>
      </c>
      <c r="G462" t="s">
        <v>135</v>
      </c>
      <c r="H462">
        <v>-560</v>
      </c>
      <c r="I462">
        <v>1</v>
      </c>
      <c r="J462">
        <v>0</v>
      </c>
      <c r="K462">
        <v>-46</v>
      </c>
      <c r="L462" t="s">
        <v>18</v>
      </c>
    </row>
    <row r="463" spans="1:12" x14ac:dyDescent="0.3">
      <c r="A463" t="s">
        <v>1699</v>
      </c>
      <c r="B463" t="s">
        <v>1700</v>
      </c>
      <c r="C463" t="s">
        <v>1701</v>
      </c>
      <c r="D463" t="s">
        <v>1702</v>
      </c>
      <c r="E463" t="s">
        <v>173</v>
      </c>
      <c r="F463" t="s">
        <v>16</v>
      </c>
      <c r="G463" t="s">
        <v>141</v>
      </c>
      <c r="H463">
        <v>106</v>
      </c>
      <c r="I463">
        <v>2</v>
      </c>
      <c r="J463">
        <v>0.1</v>
      </c>
      <c r="K463">
        <v>39</v>
      </c>
      <c r="L463" t="s">
        <v>26</v>
      </c>
    </row>
    <row r="464" spans="1:12" x14ac:dyDescent="0.3">
      <c r="A464" t="s">
        <v>1703</v>
      </c>
      <c r="B464" t="s">
        <v>1704</v>
      </c>
      <c r="C464" t="s">
        <v>1705</v>
      </c>
      <c r="D464" t="s">
        <v>1706</v>
      </c>
      <c r="E464" t="s">
        <v>173</v>
      </c>
      <c r="F464" t="s">
        <v>45</v>
      </c>
      <c r="G464" t="s">
        <v>146</v>
      </c>
      <c r="H464">
        <v>39</v>
      </c>
      <c r="I464">
        <v>5</v>
      </c>
      <c r="J464">
        <v>0</v>
      </c>
      <c r="K464">
        <v>18</v>
      </c>
      <c r="L464" t="s">
        <v>18</v>
      </c>
    </row>
    <row r="465" spans="1:12" x14ac:dyDescent="0.3">
      <c r="A465" t="s">
        <v>1707</v>
      </c>
      <c r="B465" t="s">
        <v>1708</v>
      </c>
      <c r="C465" t="s">
        <v>1709</v>
      </c>
      <c r="D465" t="s">
        <v>1710</v>
      </c>
      <c r="E465" t="s">
        <v>173</v>
      </c>
      <c r="F465" t="s">
        <v>32</v>
      </c>
      <c r="G465" t="s">
        <v>152</v>
      </c>
      <c r="H465">
        <v>66</v>
      </c>
      <c r="I465">
        <v>4</v>
      </c>
      <c r="J465">
        <v>0</v>
      </c>
      <c r="K465">
        <v>24</v>
      </c>
      <c r="L465" t="s">
        <v>26</v>
      </c>
    </row>
    <row r="466" spans="1:12" x14ac:dyDescent="0.3">
      <c r="A466" t="s">
        <v>1711</v>
      </c>
      <c r="B466" t="s">
        <v>1712</v>
      </c>
      <c r="C466" t="s">
        <v>1713</v>
      </c>
      <c r="D466" t="s">
        <v>1714</v>
      </c>
      <c r="E466" t="s">
        <v>173</v>
      </c>
      <c r="F466" t="s">
        <v>16</v>
      </c>
      <c r="G466" t="s">
        <v>158</v>
      </c>
      <c r="H466">
        <v>76</v>
      </c>
      <c r="I466">
        <v>2</v>
      </c>
      <c r="J466">
        <v>0</v>
      </c>
      <c r="K466">
        <v>24</v>
      </c>
      <c r="L466" t="s">
        <v>18</v>
      </c>
    </row>
    <row r="467" spans="1:12" x14ac:dyDescent="0.3">
      <c r="A467" t="s">
        <v>1715</v>
      </c>
      <c r="B467" t="s">
        <v>1716</v>
      </c>
      <c r="C467" t="s">
        <v>1717</v>
      </c>
      <c r="D467" t="s">
        <v>30</v>
      </c>
      <c r="E467" t="s">
        <v>173</v>
      </c>
      <c r="F467" t="s">
        <v>45</v>
      </c>
      <c r="G467" t="s">
        <v>163</v>
      </c>
      <c r="H467">
        <v>46</v>
      </c>
      <c r="I467">
        <v>1</v>
      </c>
      <c r="J467">
        <v>0</v>
      </c>
      <c r="K467">
        <v>18</v>
      </c>
      <c r="L467" t="s">
        <v>26</v>
      </c>
    </row>
    <row r="468" spans="1:12" x14ac:dyDescent="0.3">
      <c r="A468" t="s">
        <v>1718</v>
      </c>
      <c r="B468" t="s">
        <v>1719</v>
      </c>
      <c r="C468" t="s">
        <v>1720</v>
      </c>
      <c r="D468" t="s">
        <v>1721</v>
      </c>
      <c r="E468" t="s">
        <v>173</v>
      </c>
      <c r="F468" t="s">
        <v>32</v>
      </c>
      <c r="G468" t="s">
        <v>168</v>
      </c>
      <c r="H468">
        <v>86</v>
      </c>
      <c r="I468">
        <v>2</v>
      </c>
      <c r="J468">
        <v>0.1</v>
      </c>
      <c r="K468">
        <v>24</v>
      </c>
      <c r="L468" t="s">
        <v>18</v>
      </c>
    </row>
    <row r="469" spans="1:12" x14ac:dyDescent="0.3">
      <c r="A469" t="s">
        <v>1722</v>
      </c>
      <c r="B469" t="s">
        <v>1723</v>
      </c>
      <c r="C469" t="s">
        <v>1724</v>
      </c>
      <c r="D469" t="s">
        <v>1725</v>
      </c>
      <c r="E469" t="s">
        <v>173</v>
      </c>
      <c r="F469" t="s">
        <v>16</v>
      </c>
      <c r="G469" t="s">
        <v>174</v>
      </c>
      <c r="H469">
        <v>51</v>
      </c>
      <c r="I469">
        <v>3</v>
      </c>
      <c r="J469">
        <v>0</v>
      </c>
      <c r="K469">
        <v>18</v>
      </c>
      <c r="L469" t="s">
        <v>74</v>
      </c>
    </row>
    <row r="470" spans="1:12" x14ac:dyDescent="0.3">
      <c r="A470" t="s">
        <v>1726</v>
      </c>
      <c r="B470" t="s">
        <v>1727</v>
      </c>
      <c r="C470" t="s">
        <v>1728</v>
      </c>
      <c r="D470" t="s">
        <v>178</v>
      </c>
      <c r="E470" t="s">
        <v>162</v>
      </c>
      <c r="F470" t="s">
        <v>16</v>
      </c>
      <c r="G470" t="s">
        <v>17</v>
      </c>
      <c r="H470">
        <v>1320</v>
      </c>
      <c r="I470">
        <v>1</v>
      </c>
      <c r="J470">
        <v>0.1</v>
      </c>
      <c r="K470">
        <v>176</v>
      </c>
      <c r="L470" t="s">
        <v>18</v>
      </c>
    </row>
    <row r="471" spans="1:12" x14ac:dyDescent="0.3">
      <c r="A471" t="s">
        <v>1729</v>
      </c>
      <c r="B471" t="s">
        <v>1730</v>
      </c>
      <c r="C471" t="s">
        <v>1731</v>
      </c>
      <c r="D471" t="s">
        <v>1732</v>
      </c>
      <c r="E471" t="s">
        <v>162</v>
      </c>
      <c r="F471" t="s">
        <v>24</v>
      </c>
      <c r="G471" t="s">
        <v>25</v>
      </c>
      <c r="H471">
        <v>38</v>
      </c>
      <c r="I471">
        <v>2</v>
      </c>
      <c r="J471">
        <v>0</v>
      </c>
      <c r="K471">
        <v>23</v>
      </c>
      <c r="L471" t="s">
        <v>26</v>
      </c>
    </row>
    <row r="472" spans="1:12" x14ac:dyDescent="0.3">
      <c r="A472" t="s">
        <v>1733</v>
      </c>
      <c r="B472" t="s">
        <v>1734</v>
      </c>
      <c r="C472" t="s">
        <v>1293</v>
      </c>
      <c r="D472" t="s">
        <v>30</v>
      </c>
      <c r="E472" t="s">
        <v>162</v>
      </c>
      <c r="F472" t="s">
        <v>32</v>
      </c>
      <c r="G472" t="s">
        <v>33</v>
      </c>
      <c r="H472">
        <v>-630</v>
      </c>
      <c r="I472">
        <v>1</v>
      </c>
      <c r="J472">
        <v>0</v>
      </c>
      <c r="K472">
        <v>-76</v>
      </c>
      <c r="L472" t="s">
        <v>18</v>
      </c>
    </row>
    <row r="473" spans="1:12" x14ac:dyDescent="0.3">
      <c r="A473" t="s">
        <v>1735</v>
      </c>
      <c r="B473" t="s">
        <v>1736</v>
      </c>
      <c r="C473" t="s">
        <v>1737</v>
      </c>
      <c r="D473" t="s">
        <v>1738</v>
      </c>
      <c r="E473" t="s">
        <v>162</v>
      </c>
      <c r="F473" t="s">
        <v>16</v>
      </c>
      <c r="G473" t="s">
        <v>39</v>
      </c>
      <c r="H473">
        <v>1060</v>
      </c>
      <c r="I473">
        <v>1</v>
      </c>
      <c r="J473">
        <v>0.05</v>
      </c>
      <c r="K473">
        <v>136</v>
      </c>
      <c r="L473" t="s">
        <v>40</v>
      </c>
    </row>
    <row r="474" spans="1:12" x14ac:dyDescent="0.3">
      <c r="A474" t="s">
        <v>1739</v>
      </c>
      <c r="B474" t="s">
        <v>1740</v>
      </c>
      <c r="C474" t="s">
        <v>1299</v>
      </c>
      <c r="D474" t="s">
        <v>1741</v>
      </c>
      <c r="E474" t="s">
        <v>162</v>
      </c>
      <c r="F474" t="s">
        <v>45</v>
      </c>
      <c r="G474" t="s">
        <v>46</v>
      </c>
      <c r="H474">
        <v>78</v>
      </c>
      <c r="I474">
        <v>3</v>
      </c>
      <c r="J474">
        <v>0</v>
      </c>
      <c r="K474">
        <v>41</v>
      </c>
      <c r="L474" t="s">
        <v>26</v>
      </c>
    </row>
    <row r="475" spans="1:12" x14ac:dyDescent="0.3">
      <c r="A475" t="s">
        <v>1742</v>
      </c>
      <c r="B475" t="s">
        <v>1743</v>
      </c>
      <c r="C475" t="s">
        <v>1744</v>
      </c>
      <c r="D475" t="s">
        <v>1745</v>
      </c>
      <c r="E475" t="s">
        <v>162</v>
      </c>
      <c r="F475" t="s">
        <v>52</v>
      </c>
      <c r="G475" t="s">
        <v>53</v>
      </c>
      <c r="H475">
        <v>186</v>
      </c>
      <c r="I475">
        <v>4</v>
      </c>
      <c r="J475">
        <v>0.1</v>
      </c>
      <c r="K475">
        <v>44</v>
      </c>
      <c r="L475" t="s">
        <v>26</v>
      </c>
    </row>
    <row r="476" spans="1:12" x14ac:dyDescent="0.3">
      <c r="A476" t="s">
        <v>1746</v>
      </c>
      <c r="B476" t="s">
        <v>1747</v>
      </c>
      <c r="C476" t="s">
        <v>1748</v>
      </c>
      <c r="D476" t="s">
        <v>1749</v>
      </c>
      <c r="E476" t="s">
        <v>162</v>
      </c>
      <c r="F476" t="s">
        <v>16</v>
      </c>
      <c r="G476" t="s">
        <v>59</v>
      </c>
      <c r="H476">
        <v>336</v>
      </c>
      <c r="I476">
        <v>2</v>
      </c>
      <c r="J476">
        <v>0</v>
      </c>
      <c r="K476">
        <v>68</v>
      </c>
      <c r="L476" t="s">
        <v>18</v>
      </c>
    </row>
    <row r="477" spans="1:12" x14ac:dyDescent="0.3">
      <c r="A477" t="s">
        <v>1750</v>
      </c>
      <c r="B477" t="s">
        <v>1751</v>
      </c>
      <c r="C477" t="s">
        <v>1752</v>
      </c>
      <c r="D477" t="s">
        <v>30</v>
      </c>
      <c r="E477" t="s">
        <v>162</v>
      </c>
      <c r="F477" t="s">
        <v>45</v>
      </c>
      <c r="G477" t="s">
        <v>63</v>
      </c>
      <c r="H477">
        <v>106</v>
      </c>
      <c r="I477">
        <v>1</v>
      </c>
      <c r="J477">
        <v>0.2</v>
      </c>
      <c r="K477">
        <v>41</v>
      </c>
      <c r="L477" t="s">
        <v>26</v>
      </c>
    </row>
    <row r="478" spans="1:12" x14ac:dyDescent="0.3">
      <c r="A478" t="s">
        <v>1753</v>
      </c>
      <c r="B478" t="s">
        <v>1754</v>
      </c>
      <c r="C478" t="s">
        <v>1755</v>
      </c>
      <c r="D478" t="s">
        <v>1756</v>
      </c>
      <c r="E478" t="s">
        <v>162</v>
      </c>
      <c r="F478" t="s">
        <v>32</v>
      </c>
      <c r="G478" t="s">
        <v>68</v>
      </c>
      <c r="H478">
        <v>1160</v>
      </c>
      <c r="I478">
        <v>1</v>
      </c>
      <c r="J478">
        <v>0.15</v>
      </c>
      <c r="K478">
        <v>136</v>
      </c>
      <c r="L478" t="s">
        <v>18</v>
      </c>
    </row>
    <row r="479" spans="1:12" x14ac:dyDescent="0.3">
      <c r="A479" t="s">
        <v>1757</v>
      </c>
      <c r="B479" t="s">
        <v>1758</v>
      </c>
      <c r="C479" t="s">
        <v>1759</v>
      </c>
      <c r="D479" t="s">
        <v>1377</v>
      </c>
      <c r="E479" t="s">
        <v>162</v>
      </c>
      <c r="F479" t="s">
        <v>16</v>
      </c>
      <c r="G479" t="s">
        <v>73</v>
      </c>
      <c r="H479">
        <v>136</v>
      </c>
      <c r="I479">
        <v>0</v>
      </c>
      <c r="J479">
        <v>0</v>
      </c>
      <c r="K479">
        <v>48</v>
      </c>
      <c r="L479" t="s">
        <v>74</v>
      </c>
    </row>
    <row r="480" spans="1:12" x14ac:dyDescent="0.3">
      <c r="A480" t="s">
        <v>1760</v>
      </c>
      <c r="B480" t="s">
        <v>1761</v>
      </c>
      <c r="C480" t="s">
        <v>1762</v>
      </c>
      <c r="D480" t="s">
        <v>415</v>
      </c>
      <c r="E480" t="s">
        <v>162</v>
      </c>
      <c r="F480" t="s">
        <v>45</v>
      </c>
      <c r="G480" t="s">
        <v>79</v>
      </c>
      <c r="H480">
        <v>156</v>
      </c>
      <c r="I480">
        <v>-1</v>
      </c>
      <c r="J480">
        <v>0</v>
      </c>
      <c r="K480">
        <v>58</v>
      </c>
      <c r="L480" t="s">
        <v>18</v>
      </c>
    </row>
    <row r="481" spans="1:12" x14ac:dyDescent="0.3">
      <c r="A481" t="s">
        <v>1757</v>
      </c>
      <c r="B481" t="s">
        <v>1758</v>
      </c>
      <c r="C481" t="s">
        <v>1759</v>
      </c>
      <c r="D481" t="s">
        <v>1377</v>
      </c>
      <c r="E481" t="s">
        <v>162</v>
      </c>
      <c r="F481" t="s">
        <v>16</v>
      </c>
      <c r="G481" t="s">
        <v>73</v>
      </c>
      <c r="H481">
        <v>136</v>
      </c>
      <c r="I481">
        <v>0</v>
      </c>
      <c r="J481">
        <v>0</v>
      </c>
      <c r="K481">
        <v>48</v>
      </c>
      <c r="L481" t="s">
        <v>74</v>
      </c>
    </row>
    <row r="482" spans="1:12" x14ac:dyDescent="0.3">
      <c r="A482" t="s">
        <v>1763</v>
      </c>
      <c r="B482" t="s">
        <v>1764</v>
      </c>
      <c r="C482" t="s">
        <v>1184</v>
      </c>
      <c r="D482" t="s">
        <v>1765</v>
      </c>
      <c r="E482" t="s">
        <v>162</v>
      </c>
      <c r="F482" t="s">
        <v>32</v>
      </c>
      <c r="G482" t="s">
        <v>84</v>
      </c>
      <c r="H482">
        <v>386</v>
      </c>
      <c r="I482">
        <v>1</v>
      </c>
      <c r="J482">
        <v>0.1</v>
      </c>
      <c r="K482">
        <v>68</v>
      </c>
      <c r="L482" t="s">
        <v>26</v>
      </c>
    </row>
    <row r="483" spans="1:12" x14ac:dyDescent="0.3">
      <c r="A483" t="s">
        <v>1766</v>
      </c>
      <c r="B483" t="s">
        <v>1767</v>
      </c>
      <c r="C483" t="s">
        <v>1768</v>
      </c>
      <c r="D483" t="s">
        <v>264</v>
      </c>
      <c r="E483" t="s">
        <v>162</v>
      </c>
      <c r="F483" t="s">
        <v>16</v>
      </c>
      <c r="G483" t="s">
        <v>89</v>
      </c>
      <c r="H483">
        <v>286</v>
      </c>
      <c r="I483">
        <v>2</v>
      </c>
      <c r="J483">
        <v>0.05</v>
      </c>
      <c r="K483">
        <v>58</v>
      </c>
      <c r="L483" t="s">
        <v>18</v>
      </c>
    </row>
    <row r="484" spans="1:12" x14ac:dyDescent="0.3">
      <c r="A484" t="s">
        <v>1769</v>
      </c>
      <c r="B484" t="s">
        <v>1770</v>
      </c>
      <c r="C484" t="s">
        <v>1771</v>
      </c>
      <c r="D484" t="s">
        <v>1772</v>
      </c>
      <c r="E484" t="s">
        <v>162</v>
      </c>
      <c r="F484" t="s">
        <v>45</v>
      </c>
      <c r="G484" t="s">
        <v>95</v>
      </c>
      <c r="H484">
        <v>186</v>
      </c>
      <c r="I484">
        <v>1</v>
      </c>
      <c r="J484">
        <v>0</v>
      </c>
      <c r="K484">
        <v>53</v>
      </c>
      <c r="L484" t="s">
        <v>26</v>
      </c>
    </row>
    <row r="485" spans="1:12" x14ac:dyDescent="0.3">
      <c r="A485" t="s">
        <v>1773</v>
      </c>
      <c r="B485" t="s">
        <v>1774</v>
      </c>
      <c r="C485" t="s">
        <v>1775</v>
      </c>
      <c r="D485" t="s">
        <v>1776</v>
      </c>
      <c r="E485" t="s">
        <v>162</v>
      </c>
      <c r="F485" t="s">
        <v>32</v>
      </c>
      <c r="G485" t="s">
        <v>100</v>
      </c>
      <c r="H485">
        <v>236</v>
      </c>
      <c r="I485">
        <v>1</v>
      </c>
      <c r="J485">
        <v>0.1</v>
      </c>
      <c r="K485">
        <v>48</v>
      </c>
      <c r="L485" t="s">
        <v>18</v>
      </c>
    </row>
    <row r="486" spans="1:12" x14ac:dyDescent="0.3">
      <c r="A486" t="s">
        <v>1777</v>
      </c>
      <c r="B486" t="s">
        <v>1778</v>
      </c>
      <c r="C486" t="s">
        <v>1779</v>
      </c>
      <c r="D486" t="s">
        <v>1780</v>
      </c>
      <c r="E486" t="s">
        <v>162</v>
      </c>
      <c r="F486" t="s">
        <v>16</v>
      </c>
      <c r="G486" t="s">
        <v>106</v>
      </c>
      <c r="H486">
        <v>236</v>
      </c>
      <c r="I486">
        <v>1</v>
      </c>
      <c r="J486">
        <v>0</v>
      </c>
      <c r="K486">
        <v>68</v>
      </c>
      <c r="L486" t="s">
        <v>26</v>
      </c>
    </row>
    <row r="487" spans="1:12" x14ac:dyDescent="0.3">
      <c r="A487" t="s">
        <v>1781</v>
      </c>
      <c r="B487" t="s">
        <v>1782</v>
      </c>
      <c r="C487" t="s">
        <v>1783</v>
      </c>
      <c r="D487" t="s">
        <v>1784</v>
      </c>
      <c r="E487" t="s">
        <v>162</v>
      </c>
      <c r="F487" t="s">
        <v>45</v>
      </c>
      <c r="G487" t="s">
        <v>112</v>
      </c>
      <c r="H487">
        <v>88</v>
      </c>
      <c r="I487">
        <v>2</v>
      </c>
      <c r="J487">
        <v>0.1</v>
      </c>
      <c r="K487">
        <v>25</v>
      </c>
      <c r="L487" t="s">
        <v>18</v>
      </c>
    </row>
    <row r="488" spans="1:12" x14ac:dyDescent="0.3">
      <c r="A488" t="s">
        <v>1785</v>
      </c>
      <c r="B488" t="s">
        <v>1786</v>
      </c>
      <c r="C488" t="s">
        <v>1787</v>
      </c>
      <c r="D488" t="s">
        <v>30</v>
      </c>
      <c r="E488" t="s">
        <v>162</v>
      </c>
      <c r="F488" t="s">
        <v>32</v>
      </c>
      <c r="G488" t="s">
        <v>117</v>
      </c>
      <c r="H488">
        <v>1280</v>
      </c>
      <c r="I488">
        <v>1</v>
      </c>
      <c r="J488">
        <v>0.2</v>
      </c>
      <c r="K488">
        <v>186</v>
      </c>
      <c r="L488" t="s">
        <v>26</v>
      </c>
    </row>
    <row r="489" spans="1:12" x14ac:dyDescent="0.3">
      <c r="A489" t="s">
        <v>1788</v>
      </c>
      <c r="B489" t="s">
        <v>1789</v>
      </c>
      <c r="C489" t="s">
        <v>1790</v>
      </c>
      <c r="D489" t="s">
        <v>1791</v>
      </c>
      <c r="E489" t="s">
        <v>162</v>
      </c>
      <c r="F489" t="s">
        <v>16</v>
      </c>
      <c r="G489" t="s">
        <v>123</v>
      </c>
      <c r="H489">
        <v>880</v>
      </c>
      <c r="I489">
        <v>1</v>
      </c>
      <c r="J489">
        <v>0</v>
      </c>
      <c r="K489">
        <v>116</v>
      </c>
      <c r="L489" t="s">
        <v>40</v>
      </c>
    </row>
    <row r="490" spans="1:12" x14ac:dyDescent="0.3">
      <c r="A490" t="s">
        <v>1792</v>
      </c>
      <c r="B490" t="s">
        <v>1793</v>
      </c>
      <c r="C490" t="s">
        <v>1794</v>
      </c>
      <c r="D490" t="s">
        <v>1795</v>
      </c>
      <c r="E490" t="s">
        <v>162</v>
      </c>
      <c r="F490" t="s">
        <v>45</v>
      </c>
      <c r="G490" t="s">
        <v>129</v>
      </c>
      <c r="H490">
        <v>58</v>
      </c>
      <c r="I490">
        <v>3</v>
      </c>
      <c r="J490">
        <v>0</v>
      </c>
      <c r="K490">
        <v>19</v>
      </c>
      <c r="L490" t="s">
        <v>26</v>
      </c>
    </row>
    <row r="491" spans="1:12" x14ac:dyDescent="0.3">
      <c r="A491" t="s">
        <v>1796</v>
      </c>
      <c r="B491" t="s">
        <v>1797</v>
      </c>
      <c r="C491" t="s">
        <v>1798</v>
      </c>
      <c r="D491" t="s">
        <v>1092</v>
      </c>
      <c r="E491" t="s">
        <v>162</v>
      </c>
      <c r="F491" t="s">
        <v>32</v>
      </c>
      <c r="G491" t="s">
        <v>135</v>
      </c>
      <c r="H491">
        <v>-580</v>
      </c>
      <c r="I491">
        <v>1</v>
      </c>
      <c r="J491">
        <v>0</v>
      </c>
      <c r="K491">
        <v>-48</v>
      </c>
      <c r="L491" t="s">
        <v>18</v>
      </c>
    </row>
    <row r="492" spans="1:12" x14ac:dyDescent="0.3">
      <c r="A492" t="s">
        <v>1799</v>
      </c>
      <c r="B492" t="s">
        <v>1800</v>
      </c>
      <c r="C492" t="s">
        <v>1801</v>
      </c>
      <c r="D492" t="s">
        <v>1802</v>
      </c>
      <c r="E492" t="s">
        <v>162</v>
      </c>
      <c r="F492" t="s">
        <v>16</v>
      </c>
      <c r="G492" t="s">
        <v>141</v>
      </c>
      <c r="H492">
        <v>108</v>
      </c>
      <c r="I492">
        <v>2</v>
      </c>
      <c r="J492">
        <v>0.1</v>
      </c>
      <c r="K492">
        <v>41</v>
      </c>
      <c r="L492" t="s">
        <v>26</v>
      </c>
    </row>
    <row r="493" spans="1:12" x14ac:dyDescent="0.3">
      <c r="A493" t="s">
        <v>1803</v>
      </c>
      <c r="B493" t="s">
        <v>1804</v>
      </c>
      <c r="C493" t="s">
        <v>1805</v>
      </c>
      <c r="D493" t="s">
        <v>1806</v>
      </c>
      <c r="E493" t="s">
        <v>162</v>
      </c>
      <c r="F493" t="s">
        <v>45</v>
      </c>
      <c r="G493" t="s">
        <v>146</v>
      </c>
      <c r="H493">
        <v>41</v>
      </c>
      <c r="I493">
        <v>5</v>
      </c>
      <c r="J493">
        <v>0</v>
      </c>
      <c r="K493">
        <v>19</v>
      </c>
      <c r="L493" t="s">
        <v>18</v>
      </c>
    </row>
    <row r="494" spans="1:12" x14ac:dyDescent="0.3">
      <c r="A494" t="s">
        <v>1807</v>
      </c>
      <c r="B494" t="s">
        <v>1808</v>
      </c>
      <c r="C494" t="s">
        <v>1809</v>
      </c>
      <c r="D494" t="s">
        <v>1810</v>
      </c>
      <c r="E494" t="s">
        <v>162</v>
      </c>
      <c r="F494" t="s">
        <v>32</v>
      </c>
      <c r="G494" t="s">
        <v>152</v>
      </c>
      <c r="H494">
        <v>68</v>
      </c>
      <c r="I494">
        <v>4</v>
      </c>
      <c r="J494">
        <v>0</v>
      </c>
      <c r="K494">
        <v>25</v>
      </c>
      <c r="L494" t="s">
        <v>26</v>
      </c>
    </row>
    <row r="495" spans="1:12" x14ac:dyDescent="0.3">
      <c r="A495" t="s">
        <v>1811</v>
      </c>
      <c r="B495" t="s">
        <v>1812</v>
      </c>
      <c r="C495" t="s">
        <v>1813</v>
      </c>
      <c r="D495" t="s">
        <v>1814</v>
      </c>
      <c r="E495" t="s">
        <v>162</v>
      </c>
      <c r="F495" t="s">
        <v>16</v>
      </c>
      <c r="G495" t="s">
        <v>158</v>
      </c>
      <c r="H495">
        <v>78</v>
      </c>
      <c r="I495">
        <v>2</v>
      </c>
      <c r="J495">
        <v>0</v>
      </c>
      <c r="K495">
        <v>25</v>
      </c>
      <c r="L495" t="s">
        <v>18</v>
      </c>
    </row>
    <row r="496" spans="1:12" x14ac:dyDescent="0.3">
      <c r="A496" t="s">
        <v>1815</v>
      </c>
      <c r="B496" t="s">
        <v>1816</v>
      </c>
      <c r="C496" t="s">
        <v>1817</v>
      </c>
      <c r="D496" t="s">
        <v>30</v>
      </c>
      <c r="E496" t="s">
        <v>162</v>
      </c>
      <c r="F496" t="s">
        <v>45</v>
      </c>
      <c r="G496" t="s">
        <v>163</v>
      </c>
      <c r="H496">
        <v>48</v>
      </c>
      <c r="I496">
        <v>1</v>
      </c>
      <c r="J496">
        <v>0</v>
      </c>
      <c r="K496">
        <v>19</v>
      </c>
      <c r="L496" t="s">
        <v>26</v>
      </c>
    </row>
    <row r="497" spans="1:12" x14ac:dyDescent="0.3">
      <c r="A497" t="s">
        <v>1818</v>
      </c>
      <c r="B497" t="s">
        <v>1819</v>
      </c>
      <c r="C497" t="s">
        <v>1820</v>
      </c>
      <c r="D497" t="s">
        <v>1821</v>
      </c>
      <c r="E497" t="s">
        <v>162</v>
      </c>
      <c r="F497" t="s">
        <v>32</v>
      </c>
      <c r="G497" t="s">
        <v>168</v>
      </c>
      <c r="H497">
        <v>88</v>
      </c>
      <c r="I497">
        <v>2</v>
      </c>
      <c r="J497">
        <v>0.1</v>
      </c>
      <c r="K497">
        <v>25</v>
      </c>
      <c r="L497" t="s">
        <v>18</v>
      </c>
    </row>
    <row r="498" spans="1:12" x14ac:dyDescent="0.3">
      <c r="A498" t="s">
        <v>1822</v>
      </c>
      <c r="B498" t="s">
        <v>1823</v>
      </c>
      <c r="C498" t="s">
        <v>1824</v>
      </c>
      <c r="D498" t="s">
        <v>1825</v>
      </c>
      <c r="E498" t="s">
        <v>162</v>
      </c>
      <c r="F498" t="s">
        <v>16</v>
      </c>
      <c r="G498" t="s">
        <v>174</v>
      </c>
      <c r="H498">
        <v>53</v>
      </c>
      <c r="I498">
        <v>3</v>
      </c>
      <c r="J498">
        <v>0</v>
      </c>
      <c r="K498">
        <v>19</v>
      </c>
      <c r="L498" t="s">
        <v>74</v>
      </c>
    </row>
    <row r="499" spans="1:12" x14ac:dyDescent="0.3">
      <c r="A499" t="s">
        <v>1826</v>
      </c>
      <c r="B499" t="s">
        <v>1827</v>
      </c>
      <c r="C499" t="s">
        <v>1828</v>
      </c>
      <c r="D499" t="s">
        <v>1829</v>
      </c>
      <c r="E499" t="s">
        <v>183</v>
      </c>
      <c r="F499" t="s">
        <v>16</v>
      </c>
      <c r="G499" t="s">
        <v>17</v>
      </c>
      <c r="H499">
        <v>1330</v>
      </c>
      <c r="I499">
        <v>1</v>
      </c>
      <c r="J499">
        <v>0.1</v>
      </c>
      <c r="K499">
        <v>178</v>
      </c>
      <c r="L499" t="s">
        <v>18</v>
      </c>
    </row>
    <row r="500" spans="1:12" x14ac:dyDescent="0.3">
      <c r="A500" t="s">
        <v>1830</v>
      </c>
      <c r="B500" t="s">
        <v>1831</v>
      </c>
      <c r="C500" t="s">
        <v>1832</v>
      </c>
      <c r="D500" t="s">
        <v>1833</v>
      </c>
      <c r="E500" t="s">
        <v>183</v>
      </c>
      <c r="F500" t="s">
        <v>24</v>
      </c>
      <c r="G500" t="s">
        <v>25</v>
      </c>
      <c r="H500">
        <v>39</v>
      </c>
      <c r="I500">
        <v>2</v>
      </c>
      <c r="J500">
        <v>0</v>
      </c>
      <c r="K500">
        <v>24</v>
      </c>
      <c r="L500" t="s">
        <v>26</v>
      </c>
    </row>
    <row r="501" spans="1:12" x14ac:dyDescent="0.3">
      <c r="A501" t="s">
        <v>1834</v>
      </c>
      <c r="B501" t="s">
        <v>1835</v>
      </c>
      <c r="C501" t="s">
        <v>1836</v>
      </c>
      <c r="D501" t="s">
        <v>30</v>
      </c>
      <c r="E501" t="s">
        <v>183</v>
      </c>
      <c r="F501" t="s">
        <v>32</v>
      </c>
      <c r="G501" t="s">
        <v>33</v>
      </c>
      <c r="H501">
        <v>-640</v>
      </c>
      <c r="I501">
        <v>1</v>
      </c>
      <c r="J501">
        <v>0</v>
      </c>
      <c r="K501">
        <v>-78</v>
      </c>
      <c r="L501" t="s">
        <v>18</v>
      </c>
    </row>
    <row r="502" spans="1:12" x14ac:dyDescent="0.3">
      <c r="A502" t="s">
        <v>1837</v>
      </c>
      <c r="B502" t="s">
        <v>1838</v>
      </c>
      <c r="C502" t="s">
        <v>1839</v>
      </c>
      <c r="D502" t="s">
        <v>104</v>
      </c>
      <c r="E502" t="s">
        <v>183</v>
      </c>
      <c r="F502" t="s">
        <v>16</v>
      </c>
      <c r="G502" t="s">
        <v>39</v>
      </c>
      <c r="H502">
        <v>1080</v>
      </c>
      <c r="I502">
        <v>1</v>
      </c>
      <c r="J502">
        <v>0.05</v>
      </c>
      <c r="K502">
        <v>138</v>
      </c>
      <c r="L502" t="s">
        <v>40</v>
      </c>
    </row>
    <row r="503" spans="1:12" x14ac:dyDescent="0.3">
      <c r="A503" t="s">
        <v>1840</v>
      </c>
      <c r="B503" t="s">
        <v>1841</v>
      </c>
      <c r="C503" t="s">
        <v>1842</v>
      </c>
      <c r="D503" t="s">
        <v>1843</v>
      </c>
      <c r="E503" t="s">
        <v>183</v>
      </c>
      <c r="F503" t="s">
        <v>45</v>
      </c>
      <c r="G503" t="s">
        <v>46</v>
      </c>
      <c r="H503">
        <v>80</v>
      </c>
      <c r="I503">
        <v>3</v>
      </c>
      <c r="J503">
        <v>0</v>
      </c>
      <c r="K503">
        <v>43</v>
      </c>
      <c r="L503" t="s">
        <v>26</v>
      </c>
    </row>
    <row r="504" spans="1:12" x14ac:dyDescent="0.3">
      <c r="A504" t="s">
        <v>1844</v>
      </c>
      <c r="B504" t="s">
        <v>1845</v>
      </c>
      <c r="C504" t="s">
        <v>1846</v>
      </c>
      <c r="D504" t="s">
        <v>1847</v>
      </c>
      <c r="E504" t="s">
        <v>183</v>
      </c>
      <c r="F504" t="s">
        <v>52</v>
      </c>
      <c r="G504" t="s">
        <v>53</v>
      </c>
      <c r="H504">
        <v>188</v>
      </c>
      <c r="I504">
        <v>4</v>
      </c>
      <c r="J504">
        <v>0.1</v>
      </c>
      <c r="K504">
        <v>46</v>
      </c>
      <c r="L504" t="s">
        <v>26</v>
      </c>
    </row>
    <row r="505" spans="1:12" x14ac:dyDescent="0.3">
      <c r="A505" t="s">
        <v>1848</v>
      </c>
      <c r="B505" t="s">
        <v>1849</v>
      </c>
      <c r="C505" t="s">
        <v>1850</v>
      </c>
      <c r="D505" t="s">
        <v>1851</v>
      </c>
      <c r="E505" t="s">
        <v>183</v>
      </c>
      <c r="F505" t="s">
        <v>16</v>
      </c>
      <c r="G505" t="s">
        <v>59</v>
      </c>
      <c r="H505">
        <v>338</v>
      </c>
      <c r="I505">
        <v>2</v>
      </c>
      <c r="J505">
        <v>0</v>
      </c>
      <c r="K505">
        <v>70</v>
      </c>
      <c r="L505" t="s">
        <v>18</v>
      </c>
    </row>
    <row r="506" spans="1:12" x14ac:dyDescent="0.3">
      <c r="A506" t="s">
        <v>1852</v>
      </c>
      <c r="B506" t="s">
        <v>1853</v>
      </c>
      <c r="C506" t="s">
        <v>1854</v>
      </c>
      <c r="D506" t="s">
        <v>30</v>
      </c>
      <c r="E506" t="s">
        <v>183</v>
      </c>
      <c r="F506" t="s">
        <v>45</v>
      </c>
      <c r="G506" t="s">
        <v>63</v>
      </c>
      <c r="H506">
        <v>108</v>
      </c>
      <c r="I506">
        <v>1</v>
      </c>
      <c r="J506">
        <v>0.2</v>
      </c>
      <c r="K506">
        <v>43</v>
      </c>
      <c r="L506" t="s">
        <v>26</v>
      </c>
    </row>
    <row r="507" spans="1:12" x14ac:dyDescent="0.3">
      <c r="A507" t="s">
        <v>1855</v>
      </c>
      <c r="B507" t="s">
        <v>1856</v>
      </c>
      <c r="C507" t="s">
        <v>1857</v>
      </c>
      <c r="D507" t="s">
        <v>1858</v>
      </c>
      <c r="E507" t="s">
        <v>183</v>
      </c>
      <c r="F507" t="s">
        <v>32</v>
      </c>
      <c r="G507" t="s">
        <v>68</v>
      </c>
      <c r="H507">
        <v>1180</v>
      </c>
      <c r="I507">
        <v>1</v>
      </c>
      <c r="J507">
        <v>0.15</v>
      </c>
      <c r="K507">
        <v>138</v>
      </c>
      <c r="L507" t="s">
        <v>18</v>
      </c>
    </row>
    <row r="508" spans="1:12" x14ac:dyDescent="0.3">
      <c r="A508" t="s">
        <v>1859</v>
      </c>
      <c r="B508" t="s">
        <v>1860</v>
      </c>
      <c r="C508" t="s">
        <v>1861</v>
      </c>
      <c r="D508" t="s">
        <v>1862</v>
      </c>
      <c r="E508" t="s">
        <v>183</v>
      </c>
      <c r="F508" t="s">
        <v>16</v>
      </c>
      <c r="G508" t="s">
        <v>73</v>
      </c>
      <c r="H508">
        <v>138</v>
      </c>
      <c r="I508">
        <v>0</v>
      </c>
      <c r="J508">
        <v>0</v>
      </c>
      <c r="K508">
        <v>50</v>
      </c>
      <c r="L508" t="s">
        <v>74</v>
      </c>
    </row>
    <row r="509" spans="1:12" x14ac:dyDescent="0.3">
      <c r="A509" t="s">
        <v>1863</v>
      </c>
      <c r="B509" t="s">
        <v>1864</v>
      </c>
      <c r="C509" t="s">
        <v>1865</v>
      </c>
      <c r="D509" t="s">
        <v>1866</v>
      </c>
      <c r="E509" t="s">
        <v>183</v>
      </c>
      <c r="F509" t="s">
        <v>45</v>
      </c>
      <c r="G509" t="s">
        <v>79</v>
      </c>
      <c r="H509">
        <v>158</v>
      </c>
      <c r="I509">
        <v>-1</v>
      </c>
      <c r="J509">
        <v>0</v>
      </c>
      <c r="K509">
        <v>60</v>
      </c>
      <c r="L509" t="s">
        <v>18</v>
      </c>
    </row>
    <row r="510" spans="1:12" x14ac:dyDescent="0.3">
      <c r="A510" t="s">
        <v>1867</v>
      </c>
      <c r="B510" t="s">
        <v>1868</v>
      </c>
      <c r="C510" t="s">
        <v>1069</v>
      </c>
      <c r="D510" t="s">
        <v>1869</v>
      </c>
      <c r="E510" t="s">
        <v>183</v>
      </c>
      <c r="F510" t="s">
        <v>32</v>
      </c>
      <c r="G510" t="s">
        <v>84</v>
      </c>
      <c r="H510">
        <v>388</v>
      </c>
      <c r="I510">
        <v>1</v>
      </c>
      <c r="J510">
        <v>0.1</v>
      </c>
      <c r="K510">
        <v>70</v>
      </c>
      <c r="L510" t="s">
        <v>26</v>
      </c>
    </row>
    <row r="511" spans="1:12" x14ac:dyDescent="0.3">
      <c r="A511" t="s">
        <v>1859</v>
      </c>
      <c r="B511" t="s">
        <v>1860</v>
      </c>
      <c r="C511" t="s">
        <v>1861</v>
      </c>
      <c r="D511" t="s">
        <v>1862</v>
      </c>
      <c r="E511" t="s">
        <v>183</v>
      </c>
      <c r="F511" t="s">
        <v>16</v>
      </c>
      <c r="G511" t="s">
        <v>73</v>
      </c>
      <c r="H511">
        <v>138</v>
      </c>
      <c r="I511">
        <v>0</v>
      </c>
      <c r="J511">
        <v>0</v>
      </c>
      <c r="K511">
        <v>50</v>
      </c>
      <c r="L511" t="s">
        <v>74</v>
      </c>
    </row>
    <row r="512" spans="1:12" x14ac:dyDescent="0.3">
      <c r="A512" t="s">
        <v>1870</v>
      </c>
      <c r="B512" t="s">
        <v>1871</v>
      </c>
      <c r="C512" t="s">
        <v>1872</v>
      </c>
      <c r="D512" t="s">
        <v>264</v>
      </c>
      <c r="E512" t="s">
        <v>183</v>
      </c>
      <c r="F512" t="s">
        <v>16</v>
      </c>
      <c r="G512" t="s">
        <v>89</v>
      </c>
      <c r="H512">
        <v>288</v>
      </c>
      <c r="I512">
        <v>2</v>
      </c>
      <c r="J512">
        <v>0.05</v>
      </c>
      <c r="K512">
        <v>60</v>
      </c>
      <c r="L512" t="s">
        <v>18</v>
      </c>
    </row>
    <row r="513" spans="1:12" x14ac:dyDescent="0.3">
      <c r="A513" t="s">
        <v>1873</v>
      </c>
      <c r="B513" t="s">
        <v>1874</v>
      </c>
      <c r="C513" t="s">
        <v>1875</v>
      </c>
      <c r="D513" t="s">
        <v>1876</v>
      </c>
      <c r="E513" t="s">
        <v>183</v>
      </c>
      <c r="F513" t="s">
        <v>45</v>
      </c>
      <c r="G513" t="s">
        <v>95</v>
      </c>
      <c r="H513">
        <v>188</v>
      </c>
      <c r="I513">
        <v>1</v>
      </c>
      <c r="J513">
        <v>0</v>
      </c>
      <c r="K513">
        <v>55</v>
      </c>
      <c r="L513" t="s">
        <v>26</v>
      </c>
    </row>
    <row r="514" spans="1:12" x14ac:dyDescent="0.3">
      <c r="A514" t="s">
        <v>1877</v>
      </c>
      <c r="B514" t="s">
        <v>1878</v>
      </c>
      <c r="C514" t="s">
        <v>1879</v>
      </c>
      <c r="D514" t="s">
        <v>1880</v>
      </c>
      <c r="E514" t="s">
        <v>183</v>
      </c>
      <c r="F514" t="s">
        <v>32</v>
      </c>
      <c r="G514" t="s">
        <v>100</v>
      </c>
      <c r="H514">
        <v>238</v>
      </c>
      <c r="I514">
        <v>1</v>
      </c>
      <c r="J514">
        <v>0.1</v>
      </c>
      <c r="K514">
        <v>50</v>
      </c>
      <c r="L514" t="s">
        <v>18</v>
      </c>
    </row>
    <row r="515" spans="1:12" x14ac:dyDescent="0.3">
      <c r="A515" t="s">
        <v>1881</v>
      </c>
      <c r="B515" t="s">
        <v>1882</v>
      </c>
      <c r="C515" t="s">
        <v>1883</v>
      </c>
      <c r="D515" t="s">
        <v>1573</v>
      </c>
      <c r="E515" t="s">
        <v>183</v>
      </c>
      <c r="F515" t="s">
        <v>16</v>
      </c>
      <c r="G515" t="s">
        <v>106</v>
      </c>
      <c r="H515">
        <v>238</v>
      </c>
      <c r="I515">
        <v>1</v>
      </c>
      <c r="J515">
        <v>0</v>
      </c>
      <c r="K515">
        <v>70</v>
      </c>
      <c r="L515" t="s">
        <v>26</v>
      </c>
    </row>
    <row r="516" spans="1:12" x14ac:dyDescent="0.3">
      <c r="A516" t="s">
        <v>1884</v>
      </c>
      <c r="B516" t="s">
        <v>1885</v>
      </c>
      <c r="C516" t="s">
        <v>1886</v>
      </c>
      <c r="D516" t="s">
        <v>1887</v>
      </c>
      <c r="E516" t="s">
        <v>183</v>
      </c>
      <c r="F516" t="s">
        <v>45</v>
      </c>
      <c r="G516" t="s">
        <v>112</v>
      </c>
      <c r="H516">
        <v>90</v>
      </c>
      <c r="I516">
        <v>2</v>
      </c>
      <c r="J516">
        <v>0.1</v>
      </c>
      <c r="K516">
        <v>26</v>
      </c>
      <c r="L516" t="s">
        <v>18</v>
      </c>
    </row>
    <row r="517" spans="1:12" x14ac:dyDescent="0.3">
      <c r="A517" t="s">
        <v>1888</v>
      </c>
      <c r="B517" t="s">
        <v>1889</v>
      </c>
      <c r="C517" t="s">
        <v>1890</v>
      </c>
      <c r="D517" t="s">
        <v>30</v>
      </c>
      <c r="E517" t="s">
        <v>183</v>
      </c>
      <c r="F517" t="s">
        <v>32</v>
      </c>
      <c r="G517" t="s">
        <v>117</v>
      </c>
      <c r="H517">
        <v>1300</v>
      </c>
      <c r="I517">
        <v>1</v>
      </c>
      <c r="J517">
        <v>0.2</v>
      </c>
      <c r="K517">
        <v>188</v>
      </c>
      <c r="L517" t="s">
        <v>26</v>
      </c>
    </row>
    <row r="518" spans="1:12" x14ac:dyDescent="0.3">
      <c r="A518" t="s">
        <v>1891</v>
      </c>
      <c r="B518" t="s">
        <v>1892</v>
      </c>
      <c r="C518" t="s">
        <v>1893</v>
      </c>
      <c r="D518" t="s">
        <v>1894</v>
      </c>
      <c r="E518" t="s">
        <v>183</v>
      </c>
      <c r="F518" t="s">
        <v>16</v>
      </c>
      <c r="G518" t="s">
        <v>123</v>
      </c>
      <c r="H518">
        <v>900</v>
      </c>
      <c r="I518">
        <v>1</v>
      </c>
      <c r="J518">
        <v>0</v>
      </c>
      <c r="K518">
        <v>118</v>
      </c>
      <c r="L518" t="s">
        <v>40</v>
      </c>
    </row>
    <row r="519" spans="1:12" x14ac:dyDescent="0.3">
      <c r="A519" t="s">
        <v>1895</v>
      </c>
      <c r="B519" t="s">
        <v>1896</v>
      </c>
      <c r="C519" t="s">
        <v>1897</v>
      </c>
      <c r="D519" t="s">
        <v>1898</v>
      </c>
      <c r="E519" t="s">
        <v>183</v>
      </c>
      <c r="F519" t="s">
        <v>45</v>
      </c>
      <c r="G519" t="s">
        <v>129</v>
      </c>
      <c r="H519">
        <v>60</v>
      </c>
      <c r="I519">
        <v>3</v>
      </c>
      <c r="J519">
        <v>0</v>
      </c>
      <c r="K519">
        <v>20</v>
      </c>
      <c r="L519" t="s">
        <v>26</v>
      </c>
    </row>
    <row r="520" spans="1:12" x14ac:dyDescent="0.3">
      <c r="A520" t="s">
        <v>1899</v>
      </c>
      <c r="B520" t="s">
        <v>1900</v>
      </c>
      <c r="C520" t="s">
        <v>1901</v>
      </c>
      <c r="D520" t="s">
        <v>1902</v>
      </c>
      <c r="E520" t="s">
        <v>183</v>
      </c>
      <c r="F520" t="s">
        <v>32</v>
      </c>
      <c r="G520" t="s">
        <v>135</v>
      </c>
      <c r="H520">
        <v>-600</v>
      </c>
      <c r="I520">
        <v>1</v>
      </c>
      <c r="J520">
        <v>0</v>
      </c>
      <c r="K520">
        <v>-50</v>
      </c>
      <c r="L520" t="s">
        <v>18</v>
      </c>
    </row>
    <row r="521" spans="1:12" x14ac:dyDescent="0.3">
      <c r="A521" t="s">
        <v>1903</v>
      </c>
      <c r="B521" t="s">
        <v>1904</v>
      </c>
      <c r="C521" t="s">
        <v>1905</v>
      </c>
      <c r="D521" t="s">
        <v>1906</v>
      </c>
      <c r="E521" t="s">
        <v>183</v>
      </c>
      <c r="F521" t="s">
        <v>16</v>
      </c>
      <c r="G521" t="s">
        <v>141</v>
      </c>
      <c r="H521">
        <v>110</v>
      </c>
      <c r="I521">
        <v>2</v>
      </c>
      <c r="J521">
        <v>0.1</v>
      </c>
      <c r="K521">
        <v>43</v>
      </c>
      <c r="L521" t="s">
        <v>26</v>
      </c>
    </row>
    <row r="522" spans="1:12" x14ac:dyDescent="0.3">
      <c r="A522" t="s">
        <v>1907</v>
      </c>
      <c r="B522" t="s">
        <v>1908</v>
      </c>
      <c r="C522" t="s">
        <v>1909</v>
      </c>
      <c r="D522" t="s">
        <v>1910</v>
      </c>
      <c r="E522" t="s">
        <v>183</v>
      </c>
      <c r="F522" t="s">
        <v>45</v>
      </c>
      <c r="G522" t="s">
        <v>146</v>
      </c>
      <c r="H522">
        <v>43</v>
      </c>
      <c r="I522">
        <v>5</v>
      </c>
      <c r="J522">
        <v>0</v>
      </c>
      <c r="K522">
        <v>20</v>
      </c>
      <c r="L522" t="s">
        <v>18</v>
      </c>
    </row>
    <row r="523" spans="1:12" x14ac:dyDescent="0.3">
      <c r="A523" t="s">
        <v>1911</v>
      </c>
      <c r="B523" t="s">
        <v>1912</v>
      </c>
      <c r="C523" t="s">
        <v>1913</v>
      </c>
      <c r="D523" t="s">
        <v>1914</v>
      </c>
      <c r="E523" t="s">
        <v>183</v>
      </c>
      <c r="F523" t="s">
        <v>32</v>
      </c>
      <c r="G523" t="s">
        <v>152</v>
      </c>
      <c r="H523">
        <v>70</v>
      </c>
      <c r="I523">
        <v>4</v>
      </c>
      <c r="J523">
        <v>0</v>
      </c>
      <c r="K523">
        <v>26</v>
      </c>
      <c r="L523" t="s">
        <v>26</v>
      </c>
    </row>
    <row r="524" spans="1:12" x14ac:dyDescent="0.3">
      <c r="A524" t="s">
        <v>1915</v>
      </c>
      <c r="B524" t="s">
        <v>1916</v>
      </c>
      <c r="C524" t="s">
        <v>1917</v>
      </c>
      <c r="D524" t="s">
        <v>1918</v>
      </c>
      <c r="E524" t="s">
        <v>183</v>
      </c>
      <c r="F524" t="s">
        <v>16</v>
      </c>
      <c r="G524" t="s">
        <v>158</v>
      </c>
      <c r="H524">
        <v>80</v>
      </c>
      <c r="I524">
        <v>2</v>
      </c>
      <c r="J524">
        <v>0</v>
      </c>
      <c r="K524">
        <v>26</v>
      </c>
      <c r="L524" t="s">
        <v>18</v>
      </c>
    </row>
    <row r="525" spans="1:12" x14ac:dyDescent="0.3">
      <c r="A525" t="s">
        <v>1919</v>
      </c>
      <c r="B525" t="s">
        <v>1920</v>
      </c>
      <c r="C525" t="s">
        <v>1921</v>
      </c>
      <c r="D525" t="s">
        <v>30</v>
      </c>
      <c r="E525" t="s">
        <v>183</v>
      </c>
      <c r="F525" t="s">
        <v>45</v>
      </c>
      <c r="G525" t="s">
        <v>163</v>
      </c>
      <c r="H525">
        <v>50</v>
      </c>
      <c r="I525">
        <v>1</v>
      </c>
      <c r="J525">
        <v>0</v>
      </c>
      <c r="K525">
        <v>20</v>
      </c>
      <c r="L525" t="s">
        <v>26</v>
      </c>
    </row>
    <row r="526" spans="1:12" x14ac:dyDescent="0.3">
      <c r="A526" t="s">
        <v>1922</v>
      </c>
      <c r="B526" t="s">
        <v>1923</v>
      </c>
      <c r="C526" t="s">
        <v>1924</v>
      </c>
      <c r="D526" t="s">
        <v>1925</v>
      </c>
      <c r="E526" t="s">
        <v>183</v>
      </c>
      <c r="F526" t="s">
        <v>32</v>
      </c>
      <c r="G526" t="s">
        <v>168</v>
      </c>
      <c r="H526">
        <v>90</v>
      </c>
      <c r="I526">
        <v>2</v>
      </c>
      <c r="J526">
        <v>0.1</v>
      </c>
      <c r="K526">
        <v>26</v>
      </c>
      <c r="L526" t="s">
        <v>18</v>
      </c>
    </row>
    <row r="527" spans="1:12" x14ac:dyDescent="0.3">
      <c r="A527" t="s">
        <v>1926</v>
      </c>
      <c r="B527" t="s">
        <v>1927</v>
      </c>
      <c r="C527" t="s">
        <v>1928</v>
      </c>
      <c r="D527" t="s">
        <v>1929</v>
      </c>
      <c r="E527" t="s">
        <v>183</v>
      </c>
      <c r="F527" t="s">
        <v>16</v>
      </c>
      <c r="G527" t="s">
        <v>174</v>
      </c>
      <c r="H527">
        <v>55</v>
      </c>
      <c r="I527">
        <v>3</v>
      </c>
      <c r="J527">
        <v>0</v>
      </c>
      <c r="K527">
        <v>20</v>
      </c>
      <c r="L527" t="s">
        <v>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C46D7-B2F7-479C-9E9D-DF65D1D8502F}">
  <dimension ref="A1:L505"/>
  <sheetViews>
    <sheetView topLeftCell="A452" workbookViewId="0">
      <selection activeCell="D476" sqref="D476"/>
    </sheetView>
  </sheetViews>
  <sheetFormatPr defaultRowHeight="14.4" x14ac:dyDescent="0.3"/>
  <cols>
    <col min="1" max="1" width="10" bestFit="1" customWidth="1"/>
    <col min="2" max="2" width="20.44140625" bestFit="1" customWidth="1"/>
    <col min="3" max="3" width="16.109375" bestFit="1" customWidth="1"/>
    <col min="4" max="4" width="7.5546875" bestFit="1" customWidth="1"/>
    <col min="5" max="5" width="10.77734375" bestFit="1" customWidth="1"/>
    <col min="6" max="6" width="15.44140625" bestFit="1" customWidth="1"/>
    <col min="7" max="7" width="14.77734375" bestFit="1" customWidth="1"/>
    <col min="8" max="9" width="10.5546875" bestFit="1" customWidth="1"/>
    <col min="10" max="10" width="7.88671875" bestFit="1" customWidth="1"/>
    <col min="11" max="11" width="14.77734375" bestFit="1" customWidth="1"/>
    <col min="12" max="12" width="10.33203125" bestFit="1" customWidth="1"/>
  </cols>
  <sheetData>
    <row r="1" spans="1:12" x14ac:dyDescent="0.3">
      <c r="A1" t="s">
        <v>1930</v>
      </c>
      <c r="B1" t="s">
        <v>1</v>
      </c>
      <c r="C1" t="s">
        <v>2005</v>
      </c>
      <c r="D1" t="s">
        <v>3</v>
      </c>
      <c r="E1" t="s">
        <v>2003</v>
      </c>
      <c r="F1" t="s">
        <v>5</v>
      </c>
      <c r="G1" t="s">
        <v>6</v>
      </c>
      <c r="H1" t="s">
        <v>7</v>
      </c>
      <c r="I1" t="s">
        <v>8</v>
      </c>
      <c r="J1" t="s">
        <v>9</v>
      </c>
      <c r="K1" t="s">
        <v>10</v>
      </c>
      <c r="L1" t="s">
        <v>0</v>
      </c>
    </row>
    <row r="2" spans="1:12" x14ac:dyDescent="0.3">
      <c r="A2" t="s">
        <v>11</v>
      </c>
      <c r="B2" t="s">
        <v>1931</v>
      </c>
      <c r="C2" t="s">
        <v>14</v>
      </c>
      <c r="D2" t="s">
        <v>15</v>
      </c>
      <c r="E2" t="s">
        <v>16</v>
      </c>
      <c r="F2" t="s">
        <v>17</v>
      </c>
      <c r="G2">
        <v>1200</v>
      </c>
      <c r="H2">
        <v>1</v>
      </c>
      <c r="I2">
        <v>0.1</v>
      </c>
      <c r="J2">
        <v>150</v>
      </c>
      <c r="K2" t="s">
        <v>18</v>
      </c>
      <c r="L2" s="1">
        <v>44941</v>
      </c>
    </row>
    <row r="3" spans="1:12" x14ac:dyDescent="0.3">
      <c r="A3" t="s">
        <v>19</v>
      </c>
      <c r="B3" t="s">
        <v>1932</v>
      </c>
      <c r="C3" t="s">
        <v>22</v>
      </c>
      <c r="D3" t="s">
        <v>23</v>
      </c>
      <c r="E3" t="s">
        <v>45</v>
      </c>
      <c r="F3" t="s">
        <v>25</v>
      </c>
      <c r="G3">
        <v>25</v>
      </c>
      <c r="H3">
        <v>2</v>
      </c>
      <c r="I3">
        <v>0</v>
      </c>
      <c r="J3">
        <v>10</v>
      </c>
      <c r="K3" t="s">
        <v>26</v>
      </c>
      <c r="L3" s="1">
        <v>44942</v>
      </c>
    </row>
    <row r="4" spans="1:12" x14ac:dyDescent="0.3">
      <c r="A4" t="s">
        <v>27</v>
      </c>
      <c r="B4" t="s">
        <v>29</v>
      </c>
      <c r="C4" t="s">
        <v>2004</v>
      </c>
      <c r="D4" t="s">
        <v>31</v>
      </c>
      <c r="E4" t="s">
        <v>32</v>
      </c>
      <c r="F4" t="s">
        <v>33</v>
      </c>
      <c r="G4">
        <v>-500</v>
      </c>
      <c r="H4">
        <v>1</v>
      </c>
      <c r="I4">
        <v>0</v>
      </c>
      <c r="J4">
        <v>-50</v>
      </c>
      <c r="K4" t="s">
        <v>18</v>
      </c>
      <c r="L4" s="1">
        <v>44943</v>
      </c>
    </row>
    <row r="5" spans="1:12" x14ac:dyDescent="0.3">
      <c r="A5" t="s">
        <v>34</v>
      </c>
      <c r="B5" t="s">
        <v>1933</v>
      </c>
      <c r="C5" t="s">
        <v>37</v>
      </c>
      <c r="D5" t="s">
        <v>38</v>
      </c>
      <c r="E5" t="s">
        <v>16</v>
      </c>
      <c r="F5" t="s">
        <v>39</v>
      </c>
      <c r="G5">
        <v>800</v>
      </c>
      <c r="H5">
        <v>1</v>
      </c>
      <c r="I5">
        <v>0.05</v>
      </c>
      <c r="J5">
        <v>100</v>
      </c>
      <c r="K5" t="s">
        <v>18</v>
      </c>
      <c r="L5" s="1">
        <v>44944</v>
      </c>
    </row>
    <row r="6" spans="1:12" x14ac:dyDescent="0.3">
      <c r="A6" t="s">
        <v>41</v>
      </c>
      <c r="B6" t="s">
        <v>43</v>
      </c>
      <c r="C6" t="s">
        <v>44</v>
      </c>
      <c r="D6" t="s">
        <v>31</v>
      </c>
      <c r="E6" t="s">
        <v>45</v>
      </c>
      <c r="F6" t="s">
        <v>46</v>
      </c>
      <c r="G6">
        <v>50</v>
      </c>
      <c r="H6">
        <v>3</v>
      </c>
      <c r="I6">
        <v>0</v>
      </c>
      <c r="J6">
        <v>15</v>
      </c>
      <c r="K6" t="s">
        <v>26</v>
      </c>
      <c r="L6" s="1">
        <v>44945</v>
      </c>
    </row>
    <row r="7" spans="1:12" x14ac:dyDescent="0.3">
      <c r="A7" t="s">
        <v>47</v>
      </c>
      <c r="B7" t="s">
        <v>49</v>
      </c>
      <c r="C7" t="s">
        <v>50</v>
      </c>
      <c r="D7" t="s">
        <v>51</v>
      </c>
      <c r="E7" t="s">
        <v>32</v>
      </c>
      <c r="F7" t="s">
        <v>53</v>
      </c>
      <c r="G7">
        <v>150</v>
      </c>
      <c r="H7">
        <v>4</v>
      </c>
      <c r="I7">
        <v>0.1</v>
      </c>
      <c r="J7">
        <v>20</v>
      </c>
      <c r="K7" t="s">
        <v>26</v>
      </c>
      <c r="L7" s="1">
        <v>44946</v>
      </c>
    </row>
    <row r="8" spans="1:12" x14ac:dyDescent="0.3">
      <c r="A8" t="s">
        <v>54</v>
      </c>
      <c r="B8" t="s">
        <v>56</v>
      </c>
      <c r="C8" t="s">
        <v>57</v>
      </c>
      <c r="D8" t="s">
        <v>58</v>
      </c>
      <c r="E8" t="s">
        <v>16</v>
      </c>
      <c r="F8" t="s">
        <v>59</v>
      </c>
      <c r="G8">
        <v>300</v>
      </c>
      <c r="H8">
        <v>2</v>
      </c>
      <c r="I8">
        <v>0</v>
      </c>
      <c r="J8">
        <v>40</v>
      </c>
      <c r="K8" t="s">
        <v>18</v>
      </c>
      <c r="L8" s="1">
        <v>44947</v>
      </c>
    </row>
    <row r="9" spans="1:12" x14ac:dyDescent="0.3">
      <c r="A9" t="s">
        <v>60</v>
      </c>
      <c r="B9" t="s">
        <v>62</v>
      </c>
      <c r="C9" t="s">
        <v>2004</v>
      </c>
      <c r="D9" t="s">
        <v>23</v>
      </c>
      <c r="E9" t="s">
        <v>45</v>
      </c>
      <c r="F9" t="s">
        <v>63</v>
      </c>
      <c r="G9">
        <v>75</v>
      </c>
      <c r="H9">
        <v>1</v>
      </c>
      <c r="I9">
        <v>0.2</v>
      </c>
      <c r="J9">
        <v>15</v>
      </c>
      <c r="K9" t="s">
        <v>26</v>
      </c>
      <c r="L9" s="1">
        <v>44948</v>
      </c>
    </row>
    <row r="10" spans="1:12" x14ac:dyDescent="0.3">
      <c r="A10" t="s">
        <v>64</v>
      </c>
      <c r="B10" t="s">
        <v>66</v>
      </c>
      <c r="C10" t="s">
        <v>67</v>
      </c>
      <c r="D10" t="s">
        <v>31</v>
      </c>
      <c r="E10" t="s">
        <v>32</v>
      </c>
      <c r="F10" t="s">
        <v>68</v>
      </c>
      <c r="G10">
        <v>900</v>
      </c>
      <c r="H10">
        <v>1</v>
      </c>
      <c r="I10">
        <v>0.15</v>
      </c>
      <c r="J10">
        <v>100</v>
      </c>
      <c r="K10" t="s">
        <v>18</v>
      </c>
      <c r="L10" s="1">
        <v>44949</v>
      </c>
    </row>
    <row r="11" spans="1:12" hidden="1" x14ac:dyDescent="0.3">
      <c r="A11" t="s">
        <v>69</v>
      </c>
      <c r="B11" t="s">
        <v>71</v>
      </c>
      <c r="C11" t="s">
        <v>72</v>
      </c>
      <c r="D11" t="s">
        <v>23</v>
      </c>
      <c r="E11" t="s">
        <v>16</v>
      </c>
      <c r="F11" t="s">
        <v>73</v>
      </c>
      <c r="G11">
        <v>100</v>
      </c>
      <c r="H11">
        <v>0</v>
      </c>
      <c r="I11">
        <v>0</v>
      </c>
      <c r="J11">
        <v>20</v>
      </c>
      <c r="K11" t="s">
        <v>26</v>
      </c>
      <c r="L11" s="1">
        <v>44950</v>
      </c>
    </row>
    <row r="12" spans="1:12" hidden="1" x14ac:dyDescent="0.3">
      <c r="A12" t="s">
        <v>75</v>
      </c>
      <c r="B12" t="s">
        <v>77</v>
      </c>
      <c r="C12" t="s">
        <v>78</v>
      </c>
      <c r="D12" t="s">
        <v>31</v>
      </c>
      <c r="E12" t="s">
        <v>45</v>
      </c>
      <c r="F12" t="s">
        <v>79</v>
      </c>
      <c r="G12">
        <v>120</v>
      </c>
      <c r="H12">
        <v>-1</v>
      </c>
      <c r="I12">
        <v>0</v>
      </c>
      <c r="J12">
        <v>30</v>
      </c>
      <c r="K12" t="s">
        <v>18</v>
      </c>
      <c r="L12" s="1">
        <v>44951</v>
      </c>
    </row>
    <row r="13" spans="1:12" x14ac:dyDescent="0.3">
      <c r="A13" t="s">
        <v>80</v>
      </c>
      <c r="B13" t="s">
        <v>82</v>
      </c>
      <c r="C13" t="s">
        <v>83</v>
      </c>
      <c r="D13" t="s">
        <v>23</v>
      </c>
      <c r="E13" t="s">
        <v>32</v>
      </c>
      <c r="F13" t="s">
        <v>84</v>
      </c>
      <c r="G13">
        <v>350</v>
      </c>
      <c r="H13">
        <v>1</v>
      </c>
      <c r="I13">
        <v>0.1</v>
      </c>
      <c r="J13">
        <v>40</v>
      </c>
      <c r="K13" t="s">
        <v>26</v>
      </c>
      <c r="L13" s="1">
        <v>44952</v>
      </c>
    </row>
    <row r="14" spans="1:12" x14ac:dyDescent="0.3">
      <c r="A14" t="s">
        <v>85</v>
      </c>
      <c r="B14" t="s">
        <v>87</v>
      </c>
      <c r="C14" t="s">
        <v>88</v>
      </c>
      <c r="D14" t="s">
        <v>31</v>
      </c>
      <c r="E14" t="s">
        <v>16</v>
      </c>
      <c r="F14" t="s">
        <v>89</v>
      </c>
      <c r="G14">
        <v>250</v>
      </c>
      <c r="H14">
        <v>2</v>
      </c>
      <c r="I14">
        <v>0.05</v>
      </c>
      <c r="J14">
        <v>30</v>
      </c>
      <c r="K14" t="s">
        <v>18</v>
      </c>
      <c r="L14" s="1">
        <v>44953</v>
      </c>
    </row>
    <row r="15" spans="1:12" x14ac:dyDescent="0.3">
      <c r="A15" t="s">
        <v>90</v>
      </c>
      <c r="B15" t="s">
        <v>92</v>
      </c>
      <c r="C15" t="s">
        <v>93</v>
      </c>
      <c r="D15" t="s">
        <v>94</v>
      </c>
      <c r="E15" t="s">
        <v>45</v>
      </c>
      <c r="F15" t="s">
        <v>95</v>
      </c>
      <c r="G15">
        <v>150</v>
      </c>
      <c r="H15">
        <v>1</v>
      </c>
      <c r="I15">
        <v>0</v>
      </c>
      <c r="J15">
        <v>25</v>
      </c>
      <c r="K15" t="s">
        <v>26</v>
      </c>
      <c r="L15" s="1">
        <v>44954</v>
      </c>
    </row>
    <row r="16" spans="1:12" x14ac:dyDescent="0.3">
      <c r="A16" t="s">
        <v>96</v>
      </c>
      <c r="B16" t="s">
        <v>98</v>
      </c>
      <c r="C16" t="s">
        <v>99</v>
      </c>
      <c r="D16" t="s">
        <v>31</v>
      </c>
      <c r="E16" t="s">
        <v>32</v>
      </c>
      <c r="F16" t="s">
        <v>100</v>
      </c>
      <c r="G16">
        <v>200</v>
      </c>
      <c r="H16">
        <v>1</v>
      </c>
      <c r="I16">
        <v>0.1</v>
      </c>
      <c r="J16">
        <v>20</v>
      </c>
      <c r="K16" t="s">
        <v>18</v>
      </c>
      <c r="L16" s="1">
        <v>44955</v>
      </c>
    </row>
    <row r="17" spans="1:12" x14ac:dyDescent="0.3">
      <c r="A17" t="s">
        <v>101</v>
      </c>
      <c r="B17" t="s">
        <v>103</v>
      </c>
      <c r="C17" t="s">
        <v>104</v>
      </c>
      <c r="D17" t="s">
        <v>105</v>
      </c>
      <c r="E17" t="s">
        <v>16</v>
      </c>
      <c r="F17" t="s">
        <v>106</v>
      </c>
      <c r="G17">
        <v>200</v>
      </c>
      <c r="H17">
        <v>1</v>
      </c>
      <c r="I17">
        <v>0</v>
      </c>
      <c r="J17">
        <v>40</v>
      </c>
      <c r="K17" t="s">
        <v>26</v>
      </c>
      <c r="L17" s="1">
        <v>44956</v>
      </c>
    </row>
    <row r="18" spans="1:12" x14ac:dyDescent="0.3">
      <c r="A18" t="s">
        <v>107</v>
      </c>
      <c r="B18" t="s">
        <v>109</v>
      </c>
      <c r="C18" t="s">
        <v>110</v>
      </c>
      <c r="D18" t="s">
        <v>111</v>
      </c>
      <c r="E18" t="s">
        <v>45</v>
      </c>
      <c r="F18" t="s">
        <v>112</v>
      </c>
      <c r="G18">
        <v>60</v>
      </c>
      <c r="H18">
        <v>2</v>
      </c>
      <c r="I18">
        <v>0.1</v>
      </c>
      <c r="J18">
        <v>10</v>
      </c>
      <c r="K18" t="s">
        <v>18</v>
      </c>
      <c r="L18" s="1">
        <v>44957</v>
      </c>
    </row>
    <row r="19" spans="1:12" x14ac:dyDescent="0.3">
      <c r="A19" t="s">
        <v>113</v>
      </c>
      <c r="B19" t="s">
        <v>115</v>
      </c>
      <c r="C19" t="s">
        <v>2004</v>
      </c>
      <c r="D19" t="s">
        <v>116</v>
      </c>
      <c r="E19" t="s">
        <v>32</v>
      </c>
      <c r="F19" t="s">
        <v>117</v>
      </c>
      <c r="G19">
        <v>1000</v>
      </c>
      <c r="H19">
        <v>1</v>
      </c>
      <c r="I19">
        <v>0.2</v>
      </c>
      <c r="J19">
        <v>150</v>
      </c>
      <c r="K19" t="s">
        <v>26</v>
      </c>
      <c r="L19" s="1">
        <v>44928</v>
      </c>
    </row>
    <row r="20" spans="1:12" x14ac:dyDescent="0.3">
      <c r="A20" t="s">
        <v>118</v>
      </c>
      <c r="B20" t="s">
        <v>120</v>
      </c>
      <c r="C20" t="s">
        <v>121</v>
      </c>
      <c r="D20" t="s">
        <v>122</v>
      </c>
      <c r="E20" t="s">
        <v>16</v>
      </c>
      <c r="F20" t="s">
        <v>123</v>
      </c>
      <c r="G20">
        <v>600</v>
      </c>
      <c r="H20">
        <v>1</v>
      </c>
      <c r="I20">
        <v>0</v>
      </c>
      <c r="J20">
        <v>80</v>
      </c>
      <c r="K20" t="s">
        <v>18</v>
      </c>
      <c r="L20" s="1">
        <v>44959</v>
      </c>
    </row>
    <row r="21" spans="1:12" x14ac:dyDescent="0.3">
      <c r="A21" t="s">
        <v>124</v>
      </c>
      <c r="B21" t="s">
        <v>126</v>
      </c>
      <c r="C21" t="s">
        <v>127</v>
      </c>
      <c r="D21" t="s">
        <v>128</v>
      </c>
      <c r="E21" t="s">
        <v>45</v>
      </c>
      <c r="F21" t="s">
        <v>129</v>
      </c>
      <c r="G21">
        <v>30</v>
      </c>
      <c r="H21">
        <v>3</v>
      </c>
      <c r="I21">
        <v>0</v>
      </c>
      <c r="J21">
        <v>5</v>
      </c>
      <c r="K21" t="s">
        <v>26</v>
      </c>
      <c r="L21" s="1">
        <v>44960</v>
      </c>
    </row>
    <row r="22" spans="1:12" x14ac:dyDescent="0.3">
      <c r="A22" t="s">
        <v>130</v>
      </c>
      <c r="B22" t="s">
        <v>132</v>
      </c>
      <c r="C22" t="s">
        <v>133</v>
      </c>
      <c r="D22" t="s">
        <v>134</v>
      </c>
      <c r="E22" t="s">
        <v>32</v>
      </c>
      <c r="F22" t="s">
        <v>135</v>
      </c>
      <c r="G22">
        <v>-300</v>
      </c>
      <c r="H22">
        <v>1</v>
      </c>
      <c r="I22">
        <v>0</v>
      </c>
      <c r="J22">
        <v>-20</v>
      </c>
      <c r="K22" t="s">
        <v>18</v>
      </c>
      <c r="L22" s="1">
        <v>45018</v>
      </c>
    </row>
    <row r="23" spans="1:12" x14ac:dyDescent="0.3">
      <c r="A23" t="s">
        <v>136</v>
      </c>
      <c r="B23" t="s">
        <v>138</v>
      </c>
      <c r="C23" t="s">
        <v>139</v>
      </c>
      <c r="D23" t="s">
        <v>140</v>
      </c>
      <c r="E23" t="s">
        <v>16</v>
      </c>
      <c r="F23" t="s">
        <v>141</v>
      </c>
      <c r="G23">
        <v>80</v>
      </c>
      <c r="H23">
        <v>2</v>
      </c>
      <c r="I23">
        <v>0.1</v>
      </c>
      <c r="J23">
        <v>15</v>
      </c>
      <c r="K23" t="s">
        <v>26</v>
      </c>
      <c r="L23" s="1">
        <v>44962</v>
      </c>
    </row>
    <row r="24" spans="1:12" x14ac:dyDescent="0.3">
      <c r="A24" t="s">
        <v>142</v>
      </c>
      <c r="B24" t="s">
        <v>144</v>
      </c>
      <c r="C24" t="s">
        <v>145</v>
      </c>
      <c r="D24" t="s">
        <v>31</v>
      </c>
      <c r="E24" t="s">
        <v>45</v>
      </c>
      <c r="F24" t="s">
        <v>146</v>
      </c>
      <c r="G24">
        <v>15</v>
      </c>
      <c r="H24">
        <v>5</v>
      </c>
      <c r="I24">
        <v>0</v>
      </c>
      <c r="J24">
        <v>5</v>
      </c>
      <c r="K24" t="s">
        <v>18</v>
      </c>
      <c r="L24" s="1">
        <v>45079</v>
      </c>
    </row>
    <row r="25" spans="1:12" x14ac:dyDescent="0.3">
      <c r="A25" t="s">
        <v>147</v>
      </c>
      <c r="B25" t="s">
        <v>149</v>
      </c>
      <c r="C25" t="s">
        <v>150</v>
      </c>
      <c r="D25" t="s">
        <v>151</v>
      </c>
      <c r="E25" t="s">
        <v>32</v>
      </c>
      <c r="F25" t="s">
        <v>152</v>
      </c>
      <c r="G25">
        <v>40</v>
      </c>
      <c r="H25">
        <v>4</v>
      </c>
      <c r="I25">
        <v>0</v>
      </c>
      <c r="J25">
        <v>10</v>
      </c>
      <c r="K25" t="s">
        <v>26</v>
      </c>
      <c r="L25" s="1">
        <v>44964</v>
      </c>
    </row>
    <row r="26" spans="1:12" x14ac:dyDescent="0.3">
      <c r="A26" t="s">
        <v>153</v>
      </c>
      <c r="B26" t="s">
        <v>155</v>
      </c>
      <c r="C26" t="s">
        <v>156</v>
      </c>
      <c r="D26" t="s">
        <v>157</v>
      </c>
      <c r="E26" t="s">
        <v>16</v>
      </c>
      <c r="F26" t="s">
        <v>158</v>
      </c>
      <c r="G26">
        <v>50</v>
      </c>
      <c r="H26">
        <v>2</v>
      </c>
      <c r="I26">
        <v>0</v>
      </c>
      <c r="J26">
        <v>10</v>
      </c>
      <c r="K26" t="s">
        <v>18</v>
      </c>
      <c r="L26" s="1">
        <v>44965</v>
      </c>
    </row>
    <row r="27" spans="1:12" x14ac:dyDescent="0.3">
      <c r="A27" t="s">
        <v>159</v>
      </c>
      <c r="B27" t="s">
        <v>161</v>
      </c>
      <c r="C27" t="s">
        <v>2004</v>
      </c>
      <c r="D27" t="s">
        <v>162</v>
      </c>
      <c r="E27" t="s">
        <v>45</v>
      </c>
      <c r="F27" t="s">
        <v>163</v>
      </c>
      <c r="G27">
        <v>20</v>
      </c>
      <c r="H27">
        <v>1</v>
      </c>
      <c r="I27">
        <v>0</v>
      </c>
      <c r="J27">
        <v>5</v>
      </c>
      <c r="K27" t="s">
        <v>26</v>
      </c>
      <c r="L27" s="1">
        <v>45171</v>
      </c>
    </row>
    <row r="28" spans="1:12" x14ac:dyDescent="0.3">
      <c r="A28" t="s">
        <v>164</v>
      </c>
      <c r="B28" t="s">
        <v>166</v>
      </c>
      <c r="C28" t="s">
        <v>167</v>
      </c>
      <c r="D28" t="s">
        <v>151</v>
      </c>
      <c r="E28" t="s">
        <v>32</v>
      </c>
      <c r="F28" t="s">
        <v>168</v>
      </c>
      <c r="G28">
        <v>60</v>
      </c>
      <c r="H28">
        <v>2</v>
      </c>
      <c r="I28">
        <v>0.1</v>
      </c>
      <c r="J28">
        <v>10</v>
      </c>
      <c r="K28" t="s">
        <v>18</v>
      </c>
      <c r="L28" s="1">
        <v>44967</v>
      </c>
    </row>
    <row r="29" spans="1:12" x14ac:dyDescent="0.3">
      <c r="A29" t="s">
        <v>169</v>
      </c>
      <c r="B29" t="s">
        <v>171</v>
      </c>
      <c r="C29" t="s">
        <v>172</v>
      </c>
      <c r="D29" t="s">
        <v>173</v>
      </c>
      <c r="E29" t="s">
        <v>16</v>
      </c>
      <c r="F29" t="s">
        <v>174</v>
      </c>
      <c r="G29">
        <v>25</v>
      </c>
      <c r="H29">
        <v>3</v>
      </c>
      <c r="I29">
        <v>0</v>
      </c>
      <c r="J29">
        <v>5</v>
      </c>
      <c r="K29" t="s">
        <v>26</v>
      </c>
      <c r="L29" s="1">
        <v>45232</v>
      </c>
    </row>
    <row r="30" spans="1:12" x14ac:dyDescent="0.3">
      <c r="A30" t="s">
        <v>175</v>
      </c>
      <c r="B30" t="s">
        <v>1934</v>
      </c>
      <c r="C30" t="s">
        <v>178</v>
      </c>
      <c r="D30" t="s">
        <v>162</v>
      </c>
      <c r="E30" t="s">
        <v>16</v>
      </c>
      <c r="F30" t="s">
        <v>17</v>
      </c>
      <c r="G30">
        <v>1100</v>
      </c>
      <c r="H30">
        <v>1</v>
      </c>
      <c r="I30">
        <v>0.05</v>
      </c>
      <c r="J30">
        <v>100</v>
      </c>
      <c r="K30" t="s">
        <v>18</v>
      </c>
      <c r="L30" s="1">
        <v>44969</v>
      </c>
    </row>
    <row r="31" spans="1:12" x14ac:dyDescent="0.3">
      <c r="A31" t="s">
        <v>179</v>
      </c>
      <c r="B31" t="s">
        <v>1935</v>
      </c>
      <c r="C31" t="s">
        <v>182</v>
      </c>
      <c r="D31" t="s">
        <v>183</v>
      </c>
      <c r="E31" t="s">
        <v>45</v>
      </c>
      <c r="F31" t="s">
        <v>25</v>
      </c>
      <c r="G31">
        <v>20</v>
      </c>
      <c r="H31">
        <v>2</v>
      </c>
      <c r="I31">
        <v>0</v>
      </c>
      <c r="J31">
        <v>5</v>
      </c>
      <c r="K31" t="s">
        <v>26</v>
      </c>
      <c r="L31" s="1">
        <v>44970</v>
      </c>
    </row>
    <row r="32" spans="1:12" x14ac:dyDescent="0.3">
      <c r="A32" t="s">
        <v>184</v>
      </c>
      <c r="B32" t="s">
        <v>186</v>
      </c>
      <c r="C32" t="s">
        <v>2004</v>
      </c>
      <c r="D32" t="s">
        <v>94</v>
      </c>
      <c r="E32" t="s">
        <v>32</v>
      </c>
      <c r="F32" t="s">
        <v>33</v>
      </c>
      <c r="G32">
        <v>-450</v>
      </c>
      <c r="H32">
        <v>1</v>
      </c>
      <c r="I32">
        <v>0</v>
      </c>
      <c r="J32">
        <v>-40</v>
      </c>
      <c r="K32" t="s">
        <v>18</v>
      </c>
      <c r="L32" s="1">
        <v>44971</v>
      </c>
    </row>
    <row r="33" spans="1:12" x14ac:dyDescent="0.3">
      <c r="A33" t="s">
        <v>187</v>
      </c>
      <c r="B33" t="s">
        <v>1936</v>
      </c>
      <c r="C33" t="s">
        <v>190</v>
      </c>
      <c r="D33" t="s">
        <v>94</v>
      </c>
      <c r="E33" t="s">
        <v>16</v>
      </c>
      <c r="F33" t="s">
        <v>39</v>
      </c>
      <c r="G33">
        <v>850</v>
      </c>
      <c r="H33">
        <v>1</v>
      </c>
      <c r="I33">
        <v>0.05</v>
      </c>
      <c r="J33">
        <v>110</v>
      </c>
      <c r="K33" t="s">
        <v>18</v>
      </c>
      <c r="L33" s="1">
        <v>44972</v>
      </c>
    </row>
    <row r="34" spans="1:12" x14ac:dyDescent="0.3">
      <c r="A34" t="s">
        <v>191</v>
      </c>
      <c r="B34" t="s">
        <v>193</v>
      </c>
      <c r="C34" t="s">
        <v>194</v>
      </c>
      <c r="D34" t="s">
        <v>94</v>
      </c>
      <c r="E34" t="s">
        <v>45</v>
      </c>
      <c r="F34" t="s">
        <v>46</v>
      </c>
      <c r="G34">
        <v>55</v>
      </c>
      <c r="H34">
        <v>3</v>
      </c>
      <c r="I34">
        <v>0</v>
      </c>
      <c r="J34">
        <v>18</v>
      </c>
      <c r="K34" t="s">
        <v>26</v>
      </c>
      <c r="L34" s="1">
        <v>44973</v>
      </c>
    </row>
    <row r="35" spans="1:12" x14ac:dyDescent="0.3">
      <c r="A35" t="s">
        <v>195</v>
      </c>
      <c r="B35" t="s">
        <v>197</v>
      </c>
      <c r="C35" t="s">
        <v>198</v>
      </c>
      <c r="D35" t="s">
        <v>94</v>
      </c>
      <c r="E35" t="s">
        <v>32</v>
      </c>
      <c r="F35" t="s">
        <v>53</v>
      </c>
      <c r="G35">
        <v>160</v>
      </c>
      <c r="H35">
        <v>4</v>
      </c>
      <c r="I35">
        <v>0.1</v>
      </c>
      <c r="J35">
        <v>22</v>
      </c>
      <c r="K35" t="s">
        <v>26</v>
      </c>
      <c r="L35" s="1">
        <v>44974</v>
      </c>
    </row>
    <row r="36" spans="1:12" x14ac:dyDescent="0.3">
      <c r="A36" t="s">
        <v>199</v>
      </c>
      <c r="B36" t="s">
        <v>201</v>
      </c>
      <c r="C36" t="s">
        <v>202</v>
      </c>
      <c r="D36" t="s">
        <v>94</v>
      </c>
      <c r="E36" t="s">
        <v>16</v>
      </c>
      <c r="F36" t="s">
        <v>59</v>
      </c>
      <c r="G36">
        <v>310</v>
      </c>
      <c r="H36">
        <v>2</v>
      </c>
      <c r="I36">
        <v>0</v>
      </c>
      <c r="J36">
        <v>45</v>
      </c>
      <c r="K36" t="s">
        <v>18</v>
      </c>
      <c r="L36" s="1">
        <v>44975</v>
      </c>
    </row>
    <row r="37" spans="1:12" x14ac:dyDescent="0.3">
      <c r="A37" t="s">
        <v>203</v>
      </c>
      <c r="B37" t="s">
        <v>205</v>
      </c>
      <c r="C37" t="s">
        <v>2004</v>
      </c>
      <c r="D37" t="s">
        <v>31</v>
      </c>
      <c r="E37" t="s">
        <v>45</v>
      </c>
      <c r="F37" t="s">
        <v>63</v>
      </c>
      <c r="G37">
        <v>80</v>
      </c>
      <c r="H37">
        <v>1</v>
      </c>
      <c r="I37">
        <v>0.2</v>
      </c>
      <c r="J37">
        <v>18</v>
      </c>
      <c r="K37" t="s">
        <v>26</v>
      </c>
      <c r="L37" s="1">
        <v>44976</v>
      </c>
    </row>
    <row r="38" spans="1:12" x14ac:dyDescent="0.3">
      <c r="A38" t="s">
        <v>206</v>
      </c>
      <c r="B38" t="s">
        <v>208</v>
      </c>
      <c r="C38" t="s">
        <v>209</v>
      </c>
      <c r="D38" t="s">
        <v>31</v>
      </c>
      <c r="E38" t="s">
        <v>32</v>
      </c>
      <c r="F38" t="s">
        <v>68</v>
      </c>
      <c r="G38">
        <v>950</v>
      </c>
      <c r="H38">
        <v>1</v>
      </c>
      <c r="I38">
        <v>0.15</v>
      </c>
      <c r="J38">
        <v>110</v>
      </c>
      <c r="K38" t="s">
        <v>18</v>
      </c>
      <c r="L38" s="1">
        <v>44977</v>
      </c>
    </row>
    <row r="39" spans="1:12" hidden="1" x14ac:dyDescent="0.3">
      <c r="A39" t="s">
        <v>210</v>
      </c>
      <c r="B39" t="s">
        <v>212</v>
      </c>
      <c r="C39" t="s">
        <v>213</v>
      </c>
      <c r="D39" t="s">
        <v>31</v>
      </c>
      <c r="E39" t="s">
        <v>16</v>
      </c>
      <c r="F39" t="s">
        <v>73</v>
      </c>
      <c r="G39">
        <v>110</v>
      </c>
      <c r="H39">
        <v>0</v>
      </c>
      <c r="I39">
        <v>0</v>
      </c>
      <c r="J39">
        <v>25</v>
      </c>
      <c r="K39" t="s">
        <v>26</v>
      </c>
      <c r="L39" s="1">
        <v>44978</v>
      </c>
    </row>
    <row r="40" spans="1:12" hidden="1" x14ac:dyDescent="0.3">
      <c r="A40" t="s">
        <v>214</v>
      </c>
      <c r="B40" t="s">
        <v>216</v>
      </c>
      <c r="C40" t="s">
        <v>217</v>
      </c>
      <c r="D40" t="s">
        <v>31</v>
      </c>
      <c r="E40" t="s">
        <v>45</v>
      </c>
      <c r="F40" t="s">
        <v>79</v>
      </c>
      <c r="G40">
        <v>130</v>
      </c>
      <c r="H40">
        <v>-1</v>
      </c>
      <c r="I40">
        <v>0</v>
      </c>
      <c r="J40">
        <v>35</v>
      </c>
      <c r="K40" t="s">
        <v>18</v>
      </c>
      <c r="L40" s="1">
        <v>44979</v>
      </c>
    </row>
    <row r="41" spans="1:12" x14ac:dyDescent="0.3">
      <c r="A41" t="s">
        <v>218</v>
      </c>
      <c r="B41" t="s">
        <v>220</v>
      </c>
      <c r="C41" t="s">
        <v>221</v>
      </c>
      <c r="D41" t="s">
        <v>31</v>
      </c>
      <c r="E41" t="s">
        <v>32</v>
      </c>
      <c r="F41" t="s">
        <v>84</v>
      </c>
      <c r="G41">
        <v>360</v>
      </c>
      <c r="H41">
        <v>1</v>
      </c>
      <c r="I41">
        <v>0.1</v>
      </c>
      <c r="J41">
        <v>45</v>
      </c>
      <c r="K41" t="s">
        <v>26</v>
      </c>
      <c r="L41" s="1">
        <v>44980</v>
      </c>
    </row>
    <row r="42" spans="1:12" x14ac:dyDescent="0.3">
      <c r="A42" t="s">
        <v>222</v>
      </c>
      <c r="B42" t="s">
        <v>224</v>
      </c>
      <c r="C42" t="s">
        <v>225</v>
      </c>
      <c r="D42" t="s">
        <v>31</v>
      </c>
      <c r="E42" t="s">
        <v>16</v>
      </c>
      <c r="F42" t="s">
        <v>89</v>
      </c>
      <c r="G42">
        <v>260</v>
      </c>
      <c r="H42">
        <v>2</v>
      </c>
      <c r="I42">
        <v>0.05</v>
      </c>
      <c r="J42">
        <v>35</v>
      </c>
      <c r="K42" t="s">
        <v>18</v>
      </c>
      <c r="L42" s="1">
        <v>44981</v>
      </c>
    </row>
    <row r="43" spans="1:12" x14ac:dyDescent="0.3">
      <c r="A43" t="s">
        <v>226</v>
      </c>
      <c r="B43" t="s">
        <v>228</v>
      </c>
      <c r="C43" t="s">
        <v>229</v>
      </c>
      <c r="D43" t="s">
        <v>31</v>
      </c>
      <c r="E43" t="s">
        <v>45</v>
      </c>
      <c r="F43" t="s">
        <v>95</v>
      </c>
      <c r="G43">
        <v>160</v>
      </c>
      <c r="H43">
        <v>1</v>
      </c>
      <c r="I43">
        <v>0</v>
      </c>
      <c r="J43">
        <v>30</v>
      </c>
      <c r="K43" t="s">
        <v>26</v>
      </c>
      <c r="L43" s="1">
        <v>44982</v>
      </c>
    </row>
    <row r="44" spans="1:12" x14ac:dyDescent="0.3">
      <c r="A44" t="s">
        <v>230</v>
      </c>
      <c r="B44" t="s">
        <v>232</v>
      </c>
      <c r="C44" t="s">
        <v>233</v>
      </c>
      <c r="D44" t="s">
        <v>31</v>
      </c>
      <c r="E44" t="s">
        <v>32</v>
      </c>
      <c r="F44" t="s">
        <v>100</v>
      </c>
      <c r="G44">
        <v>210</v>
      </c>
      <c r="H44">
        <v>1</v>
      </c>
      <c r="I44">
        <v>0.1</v>
      </c>
      <c r="J44">
        <v>25</v>
      </c>
      <c r="K44" t="s">
        <v>18</v>
      </c>
      <c r="L44" s="1">
        <v>44983</v>
      </c>
    </row>
    <row r="45" spans="1:12" x14ac:dyDescent="0.3">
      <c r="A45" t="s">
        <v>234</v>
      </c>
      <c r="B45" t="s">
        <v>236</v>
      </c>
      <c r="C45" t="s">
        <v>237</v>
      </c>
      <c r="D45" t="s">
        <v>31</v>
      </c>
      <c r="E45" t="s">
        <v>16</v>
      </c>
      <c r="F45" t="s">
        <v>106</v>
      </c>
      <c r="G45">
        <v>210</v>
      </c>
      <c r="H45">
        <v>1</v>
      </c>
      <c r="I45">
        <v>0</v>
      </c>
      <c r="J45">
        <v>45</v>
      </c>
      <c r="K45" t="s">
        <v>26</v>
      </c>
      <c r="L45" s="1">
        <v>44984</v>
      </c>
    </row>
    <row r="46" spans="1:12" x14ac:dyDescent="0.3">
      <c r="A46" t="s">
        <v>238</v>
      </c>
      <c r="B46" t="s">
        <v>240</v>
      </c>
      <c r="C46" t="s">
        <v>241</v>
      </c>
      <c r="D46" t="s">
        <v>31</v>
      </c>
      <c r="E46" t="s">
        <v>45</v>
      </c>
      <c r="F46" t="s">
        <v>112</v>
      </c>
      <c r="G46">
        <v>65</v>
      </c>
      <c r="H46">
        <v>2</v>
      </c>
      <c r="I46">
        <v>0.1</v>
      </c>
      <c r="J46">
        <v>12</v>
      </c>
      <c r="K46" t="s">
        <v>18</v>
      </c>
      <c r="L46" s="1">
        <v>44985</v>
      </c>
    </row>
    <row r="47" spans="1:12" x14ac:dyDescent="0.3">
      <c r="A47" t="s">
        <v>242</v>
      </c>
      <c r="B47" t="s">
        <v>244</v>
      </c>
      <c r="C47" t="s">
        <v>2004</v>
      </c>
      <c r="D47" t="s">
        <v>15</v>
      </c>
      <c r="E47" t="s">
        <v>32</v>
      </c>
      <c r="F47" t="s">
        <v>117</v>
      </c>
      <c r="G47">
        <v>1050</v>
      </c>
      <c r="H47">
        <v>1</v>
      </c>
      <c r="I47">
        <v>0.2</v>
      </c>
      <c r="J47">
        <v>160</v>
      </c>
      <c r="K47" t="s">
        <v>26</v>
      </c>
      <c r="L47" s="1">
        <v>44929</v>
      </c>
    </row>
    <row r="48" spans="1:12" x14ac:dyDescent="0.3">
      <c r="A48" t="s">
        <v>245</v>
      </c>
      <c r="B48" t="s">
        <v>247</v>
      </c>
      <c r="C48" t="s">
        <v>248</v>
      </c>
      <c r="D48" t="s">
        <v>15</v>
      </c>
      <c r="E48" t="s">
        <v>16</v>
      </c>
      <c r="F48" t="s">
        <v>123</v>
      </c>
      <c r="G48">
        <v>650</v>
      </c>
      <c r="H48">
        <v>1</v>
      </c>
      <c r="I48">
        <v>0</v>
      </c>
      <c r="J48">
        <v>90</v>
      </c>
      <c r="K48" t="s">
        <v>18</v>
      </c>
      <c r="L48" s="1">
        <v>44987</v>
      </c>
    </row>
    <row r="49" spans="1:12" x14ac:dyDescent="0.3">
      <c r="A49" t="s">
        <v>249</v>
      </c>
      <c r="B49" t="s">
        <v>251</v>
      </c>
      <c r="C49" t="s">
        <v>252</v>
      </c>
      <c r="D49" t="s">
        <v>15</v>
      </c>
      <c r="E49" t="s">
        <v>45</v>
      </c>
      <c r="F49" t="s">
        <v>129</v>
      </c>
      <c r="G49">
        <v>35</v>
      </c>
      <c r="H49">
        <v>3</v>
      </c>
      <c r="I49">
        <v>0</v>
      </c>
      <c r="J49">
        <v>8</v>
      </c>
      <c r="K49" t="s">
        <v>26</v>
      </c>
      <c r="L49" s="1">
        <v>44988</v>
      </c>
    </row>
    <row r="50" spans="1:12" x14ac:dyDescent="0.3">
      <c r="A50" t="s">
        <v>253</v>
      </c>
      <c r="B50" t="s">
        <v>255</v>
      </c>
      <c r="C50" t="s">
        <v>256</v>
      </c>
      <c r="D50" t="s">
        <v>15</v>
      </c>
      <c r="E50" t="s">
        <v>32</v>
      </c>
      <c r="F50" t="s">
        <v>135</v>
      </c>
      <c r="G50">
        <v>-350</v>
      </c>
      <c r="H50">
        <v>1</v>
      </c>
      <c r="I50">
        <v>0</v>
      </c>
      <c r="J50">
        <v>-25</v>
      </c>
      <c r="K50" t="s">
        <v>18</v>
      </c>
      <c r="L50" s="1">
        <v>45019</v>
      </c>
    </row>
    <row r="51" spans="1:12" x14ac:dyDescent="0.3">
      <c r="A51" t="s">
        <v>257</v>
      </c>
      <c r="B51" t="s">
        <v>259</v>
      </c>
      <c r="C51" t="s">
        <v>260</v>
      </c>
      <c r="D51" t="s">
        <v>15</v>
      </c>
      <c r="E51" t="s">
        <v>16</v>
      </c>
      <c r="F51" t="s">
        <v>141</v>
      </c>
      <c r="G51">
        <v>85</v>
      </c>
      <c r="H51">
        <v>2</v>
      </c>
      <c r="I51">
        <v>0.1</v>
      </c>
      <c r="J51">
        <v>18</v>
      </c>
      <c r="K51" t="s">
        <v>26</v>
      </c>
      <c r="L51" s="1">
        <v>44990</v>
      </c>
    </row>
    <row r="52" spans="1:12" x14ac:dyDescent="0.3">
      <c r="A52" t="s">
        <v>261</v>
      </c>
      <c r="B52" t="s">
        <v>263</v>
      </c>
      <c r="C52" t="s">
        <v>264</v>
      </c>
      <c r="D52" t="s">
        <v>15</v>
      </c>
      <c r="E52" t="s">
        <v>45</v>
      </c>
      <c r="F52" t="s">
        <v>146</v>
      </c>
      <c r="G52">
        <v>18</v>
      </c>
      <c r="H52">
        <v>5</v>
      </c>
      <c r="I52">
        <v>0</v>
      </c>
      <c r="J52">
        <v>6</v>
      </c>
      <c r="K52" t="s">
        <v>18</v>
      </c>
      <c r="L52" s="1">
        <v>45080</v>
      </c>
    </row>
    <row r="53" spans="1:12" x14ac:dyDescent="0.3">
      <c r="A53" t="s">
        <v>265</v>
      </c>
      <c r="B53" t="s">
        <v>267</v>
      </c>
      <c r="C53" t="s">
        <v>268</v>
      </c>
      <c r="D53" t="s">
        <v>15</v>
      </c>
      <c r="E53" t="s">
        <v>32</v>
      </c>
      <c r="F53" t="s">
        <v>152</v>
      </c>
      <c r="G53">
        <v>45</v>
      </c>
      <c r="H53">
        <v>4</v>
      </c>
      <c r="I53">
        <v>0</v>
      </c>
      <c r="J53">
        <v>12</v>
      </c>
      <c r="K53" t="s">
        <v>26</v>
      </c>
      <c r="L53" s="1">
        <v>44992</v>
      </c>
    </row>
    <row r="54" spans="1:12" x14ac:dyDescent="0.3">
      <c r="A54" t="s">
        <v>269</v>
      </c>
      <c r="B54" t="s">
        <v>271</v>
      </c>
      <c r="C54" t="s">
        <v>272</v>
      </c>
      <c r="D54" t="s">
        <v>15</v>
      </c>
      <c r="E54" t="s">
        <v>16</v>
      </c>
      <c r="F54" t="s">
        <v>158</v>
      </c>
      <c r="G54">
        <v>55</v>
      </c>
      <c r="H54">
        <v>2</v>
      </c>
      <c r="I54">
        <v>0</v>
      </c>
      <c r="J54">
        <v>12</v>
      </c>
      <c r="K54" t="s">
        <v>18</v>
      </c>
      <c r="L54" s="1">
        <v>44993</v>
      </c>
    </row>
    <row r="55" spans="1:12" x14ac:dyDescent="0.3">
      <c r="A55" t="s">
        <v>273</v>
      </c>
      <c r="B55" t="s">
        <v>275</v>
      </c>
      <c r="C55" t="s">
        <v>2004</v>
      </c>
      <c r="D55" t="s">
        <v>15</v>
      </c>
      <c r="E55" t="s">
        <v>45</v>
      </c>
      <c r="F55" t="s">
        <v>163</v>
      </c>
      <c r="G55">
        <v>22</v>
      </c>
      <c r="H55">
        <v>1</v>
      </c>
      <c r="I55">
        <v>0</v>
      </c>
      <c r="J55">
        <v>6</v>
      </c>
      <c r="K55" t="s">
        <v>26</v>
      </c>
      <c r="L55" s="1">
        <v>45172</v>
      </c>
    </row>
    <row r="56" spans="1:12" x14ac:dyDescent="0.3">
      <c r="A56" t="s">
        <v>276</v>
      </c>
      <c r="B56" t="s">
        <v>278</v>
      </c>
      <c r="C56" t="s">
        <v>279</v>
      </c>
      <c r="D56" t="s">
        <v>15</v>
      </c>
      <c r="E56" t="s">
        <v>32</v>
      </c>
      <c r="F56" t="s">
        <v>168</v>
      </c>
      <c r="G56">
        <v>65</v>
      </c>
      <c r="H56">
        <v>2</v>
      </c>
      <c r="I56">
        <v>0.1</v>
      </c>
      <c r="J56">
        <v>12</v>
      </c>
      <c r="K56" t="s">
        <v>18</v>
      </c>
      <c r="L56" s="1">
        <v>44995</v>
      </c>
    </row>
    <row r="57" spans="1:12" x14ac:dyDescent="0.3">
      <c r="A57" t="s">
        <v>280</v>
      </c>
      <c r="B57" t="s">
        <v>282</v>
      </c>
      <c r="C57" t="s">
        <v>283</v>
      </c>
      <c r="D57" t="s">
        <v>15</v>
      </c>
      <c r="E57" t="s">
        <v>16</v>
      </c>
      <c r="F57" t="s">
        <v>174</v>
      </c>
      <c r="G57">
        <v>28</v>
      </c>
      <c r="H57">
        <v>3</v>
      </c>
      <c r="I57">
        <v>0</v>
      </c>
      <c r="J57">
        <v>6</v>
      </c>
      <c r="K57" t="s">
        <v>26</v>
      </c>
      <c r="L57" s="1">
        <v>45233</v>
      </c>
    </row>
    <row r="58" spans="1:12" x14ac:dyDescent="0.3">
      <c r="A58" t="s">
        <v>284</v>
      </c>
      <c r="B58" t="s">
        <v>1937</v>
      </c>
      <c r="C58" t="s">
        <v>287</v>
      </c>
      <c r="D58" t="s">
        <v>23</v>
      </c>
      <c r="E58" t="s">
        <v>16</v>
      </c>
      <c r="F58" t="s">
        <v>17</v>
      </c>
      <c r="G58">
        <v>1150</v>
      </c>
      <c r="H58">
        <v>1</v>
      </c>
      <c r="I58">
        <v>0.1</v>
      </c>
      <c r="J58">
        <v>140</v>
      </c>
      <c r="K58" t="s">
        <v>18</v>
      </c>
      <c r="L58" s="1">
        <v>45263</v>
      </c>
    </row>
    <row r="59" spans="1:12" x14ac:dyDescent="0.3">
      <c r="A59" t="s">
        <v>288</v>
      </c>
      <c r="B59" t="s">
        <v>1938</v>
      </c>
      <c r="C59" t="s">
        <v>291</v>
      </c>
      <c r="D59" t="s">
        <v>23</v>
      </c>
      <c r="E59" t="s">
        <v>45</v>
      </c>
      <c r="F59" t="s">
        <v>25</v>
      </c>
      <c r="G59">
        <v>22</v>
      </c>
      <c r="H59">
        <v>2</v>
      </c>
      <c r="I59">
        <v>0</v>
      </c>
      <c r="J59">
        <v>8</v>
      </c>
      <c r="K59" t="s">
        <v>26</v>
      </c>
      <c r="L59" s="1">
        <v>44998</v>
      </c>
    </row>
    <row r="60" spans="1:12" x14ac:dyDescent="0.3">
      <c r="A60" t="s">
        <v>292</v>
      </c>
      <c r="B60" t="s">
        <v>294</v>
      </c>
      <c r="C60" t="s">
        <v>2004</v>
      </c>
      <c r="D60" t="s">
        <v>23</v>
      </c>
      <c r="E60" t="s">
        <v>32</v>
      </c>
      <c r="F60" t="s">
        <v>33</v>
      </c>
      <c r="G60">
        <v>-480</v>
      </c>
      <c r="H60">
        <v>1</v>
      </c>
      <c r="I60">
        <v>0</v>
      </c>
      <c r="J60">
        <v>-45</v>
      </c>
      <c r="K60" t="s">
        <v>18</v>
      </c>
      <c r="L60" s="1">
        <v>44999</v>
      </c>
    </row>
    <row r="61" spans="1:12" x14ac:dyDescent="0.3">
      <c r="A61" t="s">
        <v>295</v>
      </c>
      <c r="B61" t="s">
        <v>1939</v>
      </c>
      <c r="C61" t="s">
        <v>83</v>
      </c>
      <c r="D61" t="s">
        <v>23</v>
      </c>
      <c r="E61" t="s">
        <v>16</v>
      </c>
      <c r="F61" t="s">
        <v>39</v>
      </c>
      <c r="G61">
        <v>820</v>
      </c>
      <c r="H61">
        <v>1</v>
      </c>
      <c r="I61">
        <v>0.05</v>
      </c>
      <c r="J61">
        <v>105</v>
      </c>
      <c r="K61" t="s">
        <v>18</v>
      </c>
      <c r="L61" s="1">
        <v>45000</v>
      </c>
    </row>
    <row r="62" spans="1:12" x14ac:dyDescent="0.3">
      <c r="A62" t="s">
        <v>298</v>
      </c>
      <c r="B62" t="s">
        <v>300</v>
      </c>
      <c r="C62" t="s">
        <v>301</v>
      </c>
      <c r="D62" t="s">
        <v>23</v>
      </c>
      <c r="E62" t="s">
        <v>45</v>
      </c>
      <c r="F62" t="s">
        <v>46</v>
      </c>
      <c r="G62">
        <v>52</v>
      </c>
      <c r="H62">
        <v>3</v>
      </c>
      <c r="I62">
        <v>0</v>
      </c>
      <c r="J62">
        <v>16</v>
      </c>
      <c r="K62" t="s">
        <v>26</v>
      </c>
      <c r="L62" s="1">
        <v>45001</v>
      </c>
    </row>
    <row r="63" spans="1:12" x14ac:dyDescent="0.3">
      <c r="A63" t="s">
        <v>302</v>
      </c>
      <c r="B63" t="s">
        <v>304</v>
      </c>
      <c r="C63" t="s">
        <v>305</v>
      </c>
      <c r="D63" t="s">
        <v>23</v>
      </c>
      <c r="E63" t="s">
        <v>32</v>
      </c>
      <c r="F63" t="s">
        <v>53</v>
      </c>
      <c r="G63">
        <v>155</v>
      </c>
      <c r="H63">
        <v>4</v>
      </c>
      <c r="I63">
        <v>0.1</v>
      </c>
      <c r="J63">
        <v>21</v>
      </c>
      <c r="K63" t="s">
        <v>26</v>
      </c>
      <c r="L63" s="1">
        <v>45002</v>
      </c>
    </row>
    <row r="64" spans="1:12" x14ac:dyDescent="0.3">
      <c r="A64" t="s">
        <v>306</v>
      </c>
      <c r="B64" t="s">
        <v>308</v>
      </c>
      <c r="C64" t="s">
        <v>309</v>
      </c>
      <c r="D64" t="s">
        <v>23</v>
      </c>
      <c r="E64" t="s">
        <v>16</v>
      </c>
      <c r="F64" t="s">
        <v>59</v>
      </c>
      <c r="G64">
        <v>305</v>
      </c>
      <c r="H64">
        <v>2</v>
      </c>
      <c r="I64">
        <v>0</v>
      </c>
      <c r="J64">
        <v>42</v>
      </c>
      <c r="K64" t="s">
        <v>18</v>
      </c>
      <c r="L64" s="1">
        <v>45003</v>
      </c>
    </row>
    <row r="65" spans="1:12" x14ac:dyDescent="0.3">
      <c r="A65" t="s">
        <v>310</v>
      </c>
      <c r="B65" t="s">
        <v>312</v>
      </c>
      <c r="C65" t="s">
        <v>2004</v>
      </c>
      <c r="D65" t="s">
        <v>23</v>
      </c>
      <c r="E65" t="s">
        <v>45</v>
      </c>
      <c r="F65" t="s">
        <v>63</v>
      </c>
      <c r="G65">
        <v>78</v>
      </c>
      <c r="H65">
        <v>1</v>
      </c>
      <c r="I65">
        <v>0.2</v>
      </c>
      <c r="J65">
        <v>16</v>
      </c>
      <c r="K65" t="s">
        <v>26</v>
      </c>
      <c r="L65" s="1">
        <v>45004</v>
      </c>
    </row>
    <row r="66" spans="1:12" x14ac:dyDescent="0.3">
      <c r="A66" t="s">
        <v>313</v>
      </c>
      <c r="B66" t="s">
        <v>315</v>
      </c>
      <c r="C66" t="s">
        <v>316</v>
      </c>
      <c r="D66" t="s">
        <v>23</v>
      </c>
      <c r="E66" t="s">
        <v>32</v>
      </c>
      <c r="F66" t="s">
        <v>68</v>
      </c>
      <c r="G66">
        <v>920</v>
      </c>
      <c r="H66">
        <v>1</v>
      </c>
      <c r="I66">
        <v>0.15</v>
      </c>
      <c r="J66">
        <v>105</v>
      </c>
      <c r="K66" t="s">
        <v>18</v>
      </c>
      <c r="L66" s="1">
        <v>45005</v>
      </c>
    </row>
    <row r="67" spans="1:12" hidden="1" x14ac:dyDescent="0.3">
      <c r="A67" t="s">
        <v>317</v>
      </c>
      <c r="B67" t="s">
        <v>319</v>
      </c>
      <c r="C67" t="s">
        <v>320</v>
      </c>
      <c r="D67" t="s">
        <v>23</v>
      </c>
      <c r="E67" t="s">
        <v>16</v>
      </c>
      <c r="F67" t="s">
        <v>73</v>
      </c>
      <c r="G67">
        <v>105</v>
      </c>
      <c r="H67">
        <v>0</v>
      </c>
      <c r="I67">
        <v>0</v>
      </c>
      <c r="J67">
        <v>22</v>
      </c>
      <c r="K67" t="s">
        <v>26</v>
      </c>
      <c r="L67" s="1">
        <v>45006</v>
      </c>
    </row>
    <row r="68" spans="1:12" hidden="1" x14ac:dyDescent="0.3">
      <c r="A68" t="s">
        <v>321</v>
      </c>
      <c r="B68" t="s">
        <v>323</v>
      </c>
      <c r="C68" t="s">
        <v>324</v>
      </c>
      <c r="D68" t="s">
        <v>23</v>
      </c>
      <c r="E68" t="s">
        <v>45</v>
      </c>
      <c r="F68" t="s">
        <v>79</v>
      </c>
      <c r="G68">
        <v>125</v>
      </c>
      <c r="H68">
        <v>-1</v>
      </c>
      <c r="I68">
        <v>0</v>
      </c>
      <c r="J68">
        <v>32</v>
      </c>
      <c r="K68" t="s">
        <v>18</v>
      </c>
      <c r="L68" s="1">
        <v>45007</v>
      </c>
    </row>
    <row r="69" spans="1:12" x14ac:dyDescent="0.3">
      <c r="A69" t="s">
        <v>325</v>
      </c>
      <c r="B69" t="s">
        <v>327</v>
      </c>
      <c r="C69" t="s">
        <v>328</v>
      </c>
      <c r="D69" t="s">
        <v>23</v>
      </c>
      <c r="E69" t="s">
        <v>32</v>
      </c>
      <c r="F69" t="s">
        <v>84</v>
      </c>
      <c r="G69">
        <v>355</v>
      </c>
      <c r="H69">
        <v>1</v>
      </c>
      <c r="I69">
        <v>0.1</v>
      </c>
      <c r="J69">
        <v>42</v>
      </c>
      <c r="K69" t="s">
        <v>26</v>
      </c>
      <c r="L69" s="1">
        <v>45008</v>
      </c>
    </row>
    <row r="70" spans="1:12" x14ac:dyDescent="0.3">
      <c r="A70" t="s">
        <v>329</v>
      </c>
      <c r="B70" t="s">
        <v>1940</v>
      </c>
      <c r="C70" t="s">
        <v>332</v>
      </c>
      <c r="D70" t="s">
        <v>23</v>
      </c>
      <c r="E70" t="s">
        <v>16</v>
      </c>
      <c r="F70" t="s">
        <v>89</v>
      </c>
      <c r="G70">
        <v>255</v>
      </c>
      <c r="H70">
        <v>2</v>
      </c>
      <c r="I70">
        <v>0.05</v>
      </c>
      <c r="J70">
        <v>32</v>
      </c>
      <c r="K70" t="s">
        <v>18</v>
      </c>
      <c r="L70" s="1">
        <v>45009</v>
      </c>
    </row>
    <row r="71" spans="1:12" x14ac:dyDescent="0.3">
      <c r="A71" t="s">
        <v>333</v>
      </c>
      <c r="B71" t="s">
        <v>335</v>
      </c>
      <c r="C71" t="s">
        <v>336</v>
      </c>
      <c r="D71" t="s">
        <v>23</v>
      </c>
      <c r="E71" t="s">
        <v>45</v>
      </c>
      <c r="F71" t="s">
        <v>95</v>
      </c>
      <c r="G71">
        <v>155</v>
      </c>
      <c r="H71">
        <v>1</v>
      </c>
      <c r="I71">
        <v>0</v>
      </c>
      <c r="J71">
        <v>28</v>
      </c>
      <c r="K71" t="s">
        <v>26</v>
      </c>
      <c r="L71" s="1">
        <v>45010</v>
      </c>
    </row>
    <row r="72" spans="1:12" x14ac:dyDescent="0.3">
      <c r="A72" t="s">
        <v>337</v>
      </c>
      <c r="B72" t="s">
        <v>138</v>
      </c>
      <c r="C72" t="s">
        <v>339</v>
      </c>
      <c r="D72" t="s">
        <v>23</v>
      </c>
      <c r="E72" t="s">
        <v>32</v>
      </c>
      <c r="F72" t="s">
        <v>100</v>
      </c>
      <c r="G72">
        <v>205</v>
      </c>
      <c r="H72">
        <v>1</v>
      </c>
      <c r="I72">
        <v>0.1</v>
      </c>
      <c r="J72">
        <v>22</v>
      </c>
      <c r="K72" t="s">
        <v>18</v>
      </c>
      <c r="L72" s="1">
        <v>45011</v>
      </c>
    </row>
    <row r="73" spans="1:12" x14ac:dyDescent="0.3">
      <c r="A73" t="s">
        <v>340</v>
      </c>
      <c r="B73" t="s">
        <v>342</v>
      </c>
      <c r="C73" t="s">
        <v>343</v>
      </c>
      <c r="D73" t="s">
        <v>23</v>
      </c>
      <c r="E73" t="s">
        <v>16</v>
      </c>
      <c r="F73" t="s">
        <v>106</v>
      </c>
      <c r="G73">
        <v>205</v>
      </c>
      <c r="H73">
        <v>1</v>
      </c>
      <c r="I73">
        <v>0</v>
      </c>
      <c r="J73">
        <v>42</v>
      </c>
      <c r="K73" t="s">
        <v>26</v>
      </c>
      <c r="L73" s="1">
        <v>45012</v>
      </c>
    </row>
    <row r="74" spans="1:12" x14ac:dyDescent="0.3">
      <c r="A74" t="s">
        <v>344</v>
      </c>
      <c r="B74" t="s">
        <v>346</v>
      </c>
      <c r="C74" t="s">
        <v>347</v>
      </c>
      <c r="D74" t="s">
        <v>23</v>
      </c>
      <c r="E74" t="s">
        <v>45</v>
      </c>
      <c r="F74" t="s">
        <v>112</v>
      </c>
      <c r="G74">
        <v>62</v>
      </c>
      <c r="H74">
        <v>2</v>
      </c>
      <c r="I74">
        <v>0.1</v>
      </c>
      <c r="J74">
        <v>11</v>
      </c>
      <c r="K74" t="s">
        <v>18</v>
      </c>
      <c r="L74" s="1">
        <v>45013</v>
      </c>
    </row>
    <row r="75" spans="1:12" x14ac:dyDescent="0.3">
      <c r="A75" t="s">
        <v>348</v>
      </c>
      <c r="B75" t="s">
        <v>350</v>
      </c>
      <c r="C75" t="s">
        <v>2004</v>
      </c>
      <c r="D75" t="s">
        <v>23</v>
      </c>
      <c r="E75" t="s">
        <v>32</v>
      </c>
      <c r="F75" t="s">
        <v>117</v>
      </c>
      <c r="G75">
        <v>1020</v>
      </c>
      <c r="H75">
        <v>1</v>
      </c>
      <c r="I75">
        <v>0.2</v>
      </c>
      <c r="J75">
        <v>155</v>
      </c>
      <c r="K75" t="s">
        <v>26</v>
      </c>
      <c r="L75" s="1">
        <v>45014</v>
      </c>
    </row>
    <row r="76" spans="1:12" x14ac:dyDescent="0.3">
      <c r="A76" t="s">
        <v>351</v>
      </c>
      <c r="B76" t="s">
        <v>353</v>
      </c>
      <c r="C76" t="s">
        <v>354</v>
      </c>
      <c r="D76" t="s">
        <v>23</v>
      </c>
      <c r="E76" t="s">
        <v>16</v>
      </c>
      <c r="F76" t="s">
        <v>123</v>
      </c>
      <c r="G76">
        <v>620</v>
      </c>
      <c r="H76">
        <v>1</v>
      </c>
      <c r="I76">
        <v>0</v>
      </c>
      <c r="J76">
        <v>85</v>
      </c>
      <c r="K76" t="s">
        <v>18</v>
      </c>
      <c r="L76" s="1">
        <v>45015</v>
      </c>
    </row>
    <row r="77" spans="1:12" x14ac:dyDescent="0.3">
      <c r="A77" t="s">
        <v>355</v>
      </c>
      <c r="B77" t="s">
        <v>357</v>
      </c>
      <c r="C77" t="s">
        <v>358</v>
      </c>
      <c r="D77" t="s">
        <v>23</v>
      </c>
      <c r="E77" t="s">
        <v>45</v>
      </c>
      <c r="F77" t="s">
        <v>129</v>
      </c>
      <c r="G77">
        <v>32</v>
      </c>
      <c r="H77">
        <v>3</v>
      </c>
      <c r="I77">
        <v>0</v>
      </c>
      <c r="J77">
        <v>6</v>
      </c>
      <c r="K77" t="s">
        <v>26</v>
      </c>
      <c r="L77" s="1">
        <v>45016</v>
      </c>
    </row>
    <row r="78" spans="1:12" x14ac:dyDescent="0.3">
      <c r="A78" t="s">
        <v>359</v>
      </c>
      <c r="B78" t="s">
        <v>361</v>
      </c>
      <c r="C78" t="s">
        <v>362</v>
      </c>
      <c r="D78" t="s">
        <v>23</v>
      </c>
      <c r="E78" t="s">
        <v>32</v>
      </c>
      <c r="F78" t="s">
        <v>135</v>
      </c>
      <c r="G78">
        <v>-320</v>
      </c>
      <c r="H78">
        <v>1</v>
      </c>
      <c r="I78">
        <v>0</v>
      </c>
      <c r="J78">
        <v>-22</v>
      </c>
      <c r="K78" t="s">
        <v>18</v>
      </c>
      <c r="L78" s="1">
        <v>44930</v>
      </c>
    </row>
    <row r="79" spans="1:12" x14ac:dyDescent="0.3">
      <c r="A79" t="s">
        <v>363</v>
      </c>
      <c r="B79" t="s">
        <v>365</v>
      </c>
      <c r="C79" t="s">
        <v>366</v>
      </c>
      <c r="D79" t="s">
        <v>23</v>
      </c>
      <c r="E79" t="s">
        <v>16</v>
      </c>
      <c r="F79" t="s">
        <v>141</v>
      </c>
      <c r="G79">
        <v>82</v>
      </c>
      <c r="H79">
        <v>2</v>
      </c>
      <c r="I79">
        <v>0.1</v>
      </c>
      <c r="J79">
        <v>16</v>
      </c>
      <c r="K79" t="s">
        <v>26</v>
      </c>
      <c r="L79" s="1">
        <v>45018</v>
      </c>
    </row>
    <row r="80" spans="1:12" x14ac:dyDescent="0.3">
      <c r="A80" t="s">
        <v>367</v>
      </c>
      <c r="B80" t="s">
        <v>369</v>
      </c>
      <c r="C80" t="s">
        <v>370</v>
      </c>
      <c r="D80" t="s">
        <v>23</v>
      </c>
      <c r="E80" t="s">
        <v>45</v>
      </c>
      <c r="F80" t="s">
        <v>146</v>
      </c>
      <c r="G80">
        <v>16</v>
      </c>
      <c r="H80">
        <v>5</v>
      </c>
      <c r="I80">
        <v>0</v>
      </c>
      <c r="J80">
        <v>5</v>
      </c>
      <c r="K80" t="s">
        <v>18</v>
      </c>
      <c r="L80" s="1">
        <v>44989</v>
      </c>
    </row>
    <row r="81" spans="1:12" x14ac:dyDescent="0.3">
      <c r="A81" t="s">
        <v>371</v>
      </c>
      <c r="B81" t="s">
        <v>373</v>
      </c>
      <c r="C81" t="s">
        <v>374</v>
      </c>
      <c r="D81" t="s">
        <v>23</v>
      </c>
      <c r="E81" t="s">
        <v>32</v>
      </c>
      <c r="F81" t="s">
        <v>152</v>
      </c>
      <c r="G81">
        <v>42</v>
      </c>
      <c r="H81">
        <v>4</v>
      </c>
      <c r="I81">
        <v>0</v>
      </c>
      <c r="J81">
        <v>11</v>
      </c>
      <c r="K81" t="s">
        <v>26</v>
      </c>
      <c r="L81" s="1">
        <v>45020</v>
      </c>
    </row>
    <row r="82" spans="1:12" x14ac:dyDescent="0.3">
      <c r="A82" t="s">
        <v>375</v>
      </c>
      <c r="B82" t="s">
        <v>377</v>
      </c>
      <c r="C82" t="s">
        <v>378</v>
      </c>
      <c r="D82" t="s">
        <v>23</v>
      </c>
      <c r="E82" t="s">
        <v>16</v>
      </c>
      <c r="F82" t="s">
        <v>158</v>
      </c>
      <c r="G82">
        <v>52</v>
      </c>
      <c r="H82">
        <v>2</v>
      </c>
      <c r="I82">
        <v>0</v>
      </c>
      <c r="J82">
        <v>11</v>
      </c>
      <c r="K82" t="s">
        <v>18</v>
      </c>
      <c r="L82" s="1">
        <v>45021</v>
      </c>
    </row>
    <row r="83" spans="1:12" x14ac:dyDescent="0.3">
      <c r="A83" t="s">
        <v>379</v>
      </c>
      <c r="B83" t="s">
        <v>381</v>
      </c>
      <c r="C83" t="s">
        <v>2004</v>
      </c>
      <c r="D83" t="s">
        <v>23</v>
      </c>
      <c r="E83" t="s">
        <v>45</v>
      </c>
      <c r="F83" t="s">
        <v>163</v>
      </c>
      <c r="G83">
        <v>21</v>
      </c>
      <c r="H83">
        <v>1</v>
      </c>
      <c r="I83">
        <v>0</v>
      </c>
      <c r="J83">
        <v>5</v>
      </c>
      <c r="K83" t="s">
        <v>26</v>
      </c>
      <c r="L83" s="1">
        <v>45081</v>
      </c>
    </row>
    <row r="84" spans="1:12" x14ac:dyDescent="0.3">
      <c r="A84" t="s">
        <v>382</v>
      </c>
      <c r="B84" t="s">
        <v>384</v>
      </c>
      <c r="C84" t="s">
        <v>385</v>
      </c>
      <c r="D84" t="s">
        <v>23</v>
      </c>
      <c r="E84" t="s">
        <v>32</v>
      </c>
      <c r="F84" t="s">
        <v>168</v>
      </c>
      <c r="G84">
        <v>62</v>
      </c>
      <c r="H84">
        <v>2</v>
      </c>
      <c r="I84">
        <v>0.1</v>
      </c>
      <c r="J84">
        <v>11</v>
      </c>
      <c r="K84" t="s">
        <v>18</v>
      </c>
      <c r="L84" s="1">
        <v>45023</v>
      </c>
    </row>
    <row r="85" spans="1:12" x14ac:dyDescent="0.3">
      <c r="A85" t="s">
        <v>386</v>
      </c>
      <c r="B85" t="s">
        <v>388</v>
      </c>
      <c r="C85" t="s">
        <v>389</v>
      </c>
      <c r="D85" t="s">
        <v>23</v>
      </c>
      <c r="E85" t="s">
        <v>16</v>
      </c>
      <c r="F85" t="s">
        <v>174</v>
      </c>
      <c r="G85">
        <v>26</v>
      </c>
      <c r="H85">
        <v>3</v>
      </c>
      <c r="I85">
        <v>0</v>
      </c>
      <c r="J85">
        <v>5</v>
      </c>
      <c r="K85" t="s">
        <v>26</v>
      </c>
      <c r="L85" s="1">
        <v>45142</v>
      </c>
    </row>
    <row r="86" spans="1:12" x14ac:dyDescent="0.3">
      <c r="A86" t="s">
        <v>390</v>
      </c>
      <c r="B86" t="s">
        <v>1941</v>
      </c>
      <c r="C86" t="s">
        <v>37</v>
      </c>
      <c r="D86" t="s">
        <v>38</v>
      </c>
      <c r="E86" t="s">
        <v>16</v>
      </c>
      <c r="F86" t="s">
        <v>17</v>
      </c>
      <c r="G86">
        <v>1180</v>
      </c>
      <c r="H86">
        <v>1</v>
      </c>
      <c r="I86">
        <v>0.1</v>
      </c>
      <c r="J86">
        <v>145</v>
      </c>
      <c r="K86" t="s">
        <v>18</v>
      </c>
      <c r="L86" s="1">
        <v>45173</v>
      </c>
    </row>
    <row r="87" spans="1:12" x14ac:dyDescent="0.3">
      <c r="A87" t="s">
        <v>393</v>
      </c>
      <c r="B87" t="s">
        <v>1942</v>
      </c>
      <c r="C87" t="s">
        <v>396</v>
      </c>
      <c r="D87" t="s">
        <v>38</v>
      </c>
      <c r="E87" t="s">
        <v>45</v>
      </c>
      <c r="F87" t="s">
        <v>25</v>
      </c>
      <c r="G87">
        <v>24</v>
      </c>
      <c r="H87">
        <v>2</v>
      </c>
      <c r="I87">
        <v>0</v>
      </c>
      <c r="J87">
        <v>9</v>
      </c>
      <c r="K87" t="s">
        <v>26</v>
      </c>
      <c r="L87" s="1">
        <v>45026</v>
      </c>
    </row>
    <row r="88" spans="1:12" x14ac:dyDescent="0.3">
      <c r="A88" t="s">
        <v>397</v>
      </c>
      <c r="B88" t="s">
        <v>399</v>
      </c>
      <c r="C88" t="s">
        <v>2004</v>
      </c>
      <c r="D88" t="s">
        <v>38</v>
      </c>
      <c r="E88" t="s">
        <v>32</v>
      </c>
      <c r="F88" t="s">
        <v>33</v>
      </c>
      <c r="G88">
        <v>-490</v>
      </c>
      <c r="H88">
        <v>1</v>
      </c>
      <c r="I88">
        <v>0</v>
      </c>
      <c r="J88">
        <v>-48</v>
      </c>
      <c r="K88" t="s">
        <v>18</v>
      </c>
      <c r="L88" s="1">
        <v>45027</v>
      </c>
    </row>
    <row r="89" spans="1:12" x14ac:dyDescent="0.3">
      <c r="A89" t="s">
        <v>400</v>
      </c>
      <c r="B89" t="s">
        <v>1943</v>
      </c>
      <c r="C89" t="s">
        <v>403</v>
      </c>
      <c r="D89" t="s">
        <v>38</v>
      </c>
      <c r="E89" t="s">
        <v>16</v>
      </c>
      <c r="F89" t="s">
        <v>39</v>
      </c>
      <c r="G89">
        <v>810</v>
      </c>
      <c r="H89">
        <v>1</v>
      </c>
      <c r="I89">
        <v>0.05</v>
      </c>
      <c r="J89">
        <v>102</v>
      </c>
      <c r="K89" t="s">
        <v>18</v>
      </c>
      <c r="L89" s="1">
        <v>45264</v>
      </c>
    </row>
    <row r="90" spans="1:12" x14ac:dyDescent="0.3">
      <c r="A90" t="s">
        <v>404</v>
      </c>
      <c r="B90" t="s">
        <v>406</v>
      </c>
      <c r="C90" t="s">
        <v>407</v>
      </c>
      <c r="D90" t="s">
        <v>38</v>
      </c>
      <c r="E90" t="s">
        <v>45</v>
      </c>
      <c r="F90" t="s">
        <v>46</v>
      </c>
      <c r="G90">
        <v>51</v>
      </c>
      <c r="H90">
        <v>3</v>
      </c>
      <c r="I90">
        <v>0</v>
      </c>
      <c r="J90">
        <v>15</v>
      </c>
      <c r="K90" t="s">
        <v>26</v>
      </c>
      <c r="L90" s="1">
        <v>45029</v>
      </c>
    </row>
    <row r="91" spans="1:12" x14ac:dyDescent="0.3">
      <c r="A91" t="s">
        <v>408</v>
      </c>
      <c r="B91" t="s">
        <v>410</v>
      </c>
      <c r="C91" t="s">
        <v>411</v>
      </c>
      <c r="D91" t="s">
        <v>38</v>
      </c>
      <c r="E91" t="s">
        <v>32</v>
      </c>
      <c r="F91" t="s">
        <v>53</v>
      </c>
      <c r="G91">
        <v>152</v>
      </c>
      <c r="H91">
        <v>4</v>
      </c>
      <c r="I91">
        <v>0.1</v>
      </c>
      <c r="J91">
        <v>20</v>
      </c>
      <c r="K91" t="s">
        <v>26</v>
      </c>
      <c r="L91" s="1">
        <v>45030</v>
      </c>
    </row>
    <row r="92" spans="1:12" x14ac:dyDescent="0.3">
      <c r="A92" t="s">
        <v>412</v>
      </c>
      <c r="B92" t="s">
        <v>414</v>
      </c>
      <c r="C92" t="s">
        <v>415</v>
      </c>
      <c r="D92" t="s">
        <v>38</v>
      </c>
      <c r="E92" t="s">
        <v>16</v>
      </c>
      <c r="F92" t="s">
        <v>59</v>
      </c>
      <c r="G92">
        <v>302</v>
      </c>
      <c r="H92">
        <v>2</v>
      </c>
      <c r="I92">
        <v>0</v>
      </c>
      <c r="J92">
        <v>41</v>
      </c>
      <c r="K92" t="s">
        <v>18</v>
      </c>
      <c r="L92" s="1">
        <v>45031</v>
      </c>
    </row>
    <row r="93" spans="1:12" x14ac:dyDescent="0.3">
      <c r="A93" t="s">
        <v>416</v>
      </c>
      <c r="B93" t="s">
        <v>418</v>
      </c>
      <c r="C93" t="s">
        <v>2004</v>
      </c>
      <c r="D93" t="s">
        <v>38</v>
      </c>
      <c r="E93" t="s">
        <v>45</v>
      </c>
      <c r="F93" t="s">
        <v>63</v>
      </c>
      <c r="G93">
        <v>76</v>
      </c>
      <c r="H93">
        <v>1</v>
      </c>
      <c r="I93">
        <v>0.2</v>
      </c>
      <c r="J93">
        <v>15</v>
      </c>
      <c r="K93" t="s">
        <v>26</v>
      </c>
      <c r="L93" s="1">
        <v>45032</v>
      </c>
    </row>
    <row r="94" spans="1:12" x14ac:dyDescent="0.3">
      <c r="A94" t="s">
        <v>419</v>
      </c>
      <c r="B94" t="s">
        <v>421</v>
      </c>
      <c r="C94" t="s">
        <v>422</v>
      </c>
      <c r="D94" t="s">
        <v>38</v>
      </c>
      <c r="E94" t="s">
        <v>32</v>
      </c>
      <c r="F94" t="s">
        <v>68</v>
      </c>
      <c r="G94">
        <v>910</v>
      </c>
      <c r="H94">
        <v>1</v>
      </c>
      <c r="I94">
        <v>0.15</v>
      </c>
      <c r="J94">
        <v>102</v>
      </c>
      <c r="K94" t="s">
        <v>18</v>
      </c>
      <c r="L94" s="1">
        <v>45033</v>
      </c>
    </row>
    <row r="95" spans="1:12" hidden="1" x14ac:dyDescent="0.3">
      <c r="A95" t="s">
        <v>423</v>
      </c>
      <c r="B95" t="s">
        <v>425</v>
      </c>
      <c r="C95" t="s">
        <v>426</v>
      </c>
      <c r="D95" t="s">
        <v>38</v>
      </c>
      <c r="E95" t="s">
        <v>16</v>
      </c>
      <c r="F95" t="s">
        <v>73</v>
      </c>
      <c r="G95">
        <v>102</v>
      </c>
      <c r="H95">
        <v>0</v>
      </c>
      <c r="I95">
        <v>0</v>
      </c>
      <c r="J95">
        <v>21</v>
      </c>
      <c r="K95" t="s">
        <v>26</v>
      </c>
      <c r="L95" s="1">
        <v>45034</v>
      </c>
    </row>
    <row r="96" spans="1:12" hidden="1" x14ac:dyDescent="0.3">
      <c r="A96" t="s">
        <v>427</v>
      </c>
      <c r="B96" t="s">
        <v>429</v>
      </c>
      <c r="C96" t="s">
        <v>430</v>
      </c>
      <c r="D96" t="s">
        <v>38</v>
      </c>
      <c r="E96" t="s">
        <v>45</v>
      </c>
      <c r="F96" t="s">
        <v>79</v>
      </c>
      <c r="G96">
        <v>122</v>
      </c>
      <c r="H96">
        <v>-1</v>
      </c>
      <c r="I96">
        <v>0</v>
      </c>
      <c r="J96">
        <v>31</v>
      </c>
      <c r="K96" t="s">
        <v>18</v>
      </c>
      <c r="L96" s="1">
        <v>45035</v>
      </c>
    </row>
    <row r="97" spans="1:12" x14ac:dyDescent="0.3">
      <c r="A97" t="s">
        <v>431</v>
      </c>
      <c r="B97" t="s">
        <v>433</v>
      </c>
      <c r="C97" t="s">
        <v>434</v>
      </c>
      <c r="D97" t="s">
        <v>38</v>
      </c>
      <c r="E97" t="s">
        <v>32</v>
      </c>
      <c r="F97" t="s">
        <v>84</v>
      </c>
      <c r="G97">
        <v>352</v>
      </c>
      <c r="H97">
        <v>1</v>
      </c>
      <c r="I97">
        <v>0.1</v>
      </c>
      <c r="J97">
        <v>41</v>
      </c>
      <c r="K97" t="s">
        <v>26</v>
      </c>
      <c r="L97" s="1">
        <v>45036</v>
      </c>
    </row>
    <row r="98" spans="1:12" x14ac:dyDescent="0.3">
      <c r="A98" t="s">
        <v>435</v>
      </c>
      <c r="B98" t="s">
        <v>437</v>
      </c>
      <c r="C98" t="s">
        <v>438</v>
      </c>
      <c r="D98" t="s">
        <v>38</v>
      </c>
      <c r="E98" t="s">
        <v>16</v>
      </c>
      <c r="F98" t="s">
        <v>89</v>
      </c>
      <c r="G98">
        <v>252</v>
      </c>
      <c r="H98">
        <v>2</v>
      </c>
      <c r="I98">
        <v>0.05</v>
      </c>
      <c r="J98">
        <v>31</v>
      </c>
      <c r="K98" t="s">
        <v>18</v>
      </c>
      <c r="L98" s="1">
        <v>45037</v>
      </c>
    </row>
    <row r="99" spans="1:12" x14ac:dyDescent="0.3">
      <c r="A99" t="s">
        <v>439</v>
      </c>
      <c r="B99" t="s">
        <v>441</v>
      </c>
      <c r="C99" t="s">
        <v>442</v>
      </c>
      <c r="D99" t="s">
        <v>38</v>
      </c>
      <c r="E99" t="s">
        <v>45</v>
      </c>
      <c r="F99" t="s">
        <v>95</v>
      </c>
      <c r="G99">
        <v>152</v>
      </c>
      <c r="H99">
        <v>1</v>
      </c>
      <c r="I99">
        <v>0</v>
      </c>
      <c r="J99">
        <v>26</v>
      </c>
      <c r="K99" t="s">
        <v>26</v>
      </c>
      <c r="L99" s="1">
        <v>45038</v>
      </c>
    </row>
    <row r="100" spans="1:12" x14ac:dyDescent="0.3">
      <c r="A100" t="s">
        <v>443</v>
      </c>
      <c r="B100" t="s">
        <v>445</v>
      </c>
      <c r="C100" t="s">
        <v>446</v>
      </c>
      <c r="D100" t="s">
        <v>38</v>
      </c>
      <c r="E100" t="s">
        <v>32</v>
      </c>
      <c r="F100" t="s">
        <v>100</v>
      </c>
      <c r="G100">
        <v>202</v>
      </c>
      <c r="H100">
        <v>1</v>
      </c>
      <c r="I100">
        <v>0.1</v>
      </c>
      <c r="J100">
        <v>21</v>
      </c>
      <c r="K100" t="s">
        <v>18</v>
      </c>
      <c r="L100" s="1">
        <v>45039</v>
      </c>
    </row>
    <row r="101" spans="1:12" x14ac:dyDescent="0.3">
      <c r="A101" t="s">
        <v>447</v>
      </c>
      <c r="B101" t="s">
        <v>449</v>
      </c>
      <c r="C101" t="s">
        <v>450</v>
      </c>
      <c r="D101" t="s">
        <v>38</v>
      </c>
      <c r="E101" t="s">
        <v>16</v>
      </c>
      <c r="F101" t="s">
        <v>106</v>
      </c>
      <c r="G101">
        <v>202</v>
      </c>
      <c r="H101">
        <v>1</v>
      </c>
      <c r="I101">
        <v>0</v>
      </c>
      <c r="J101">
        <v>41</v>
      </c>
      <c r="K101" t="s">
        <v>26</v>
      </c>
      <c r="L101" s="1">
        <v>45040</v>
      </c>
    </row>
    <row r="102" spans="1:12" x14ac:dyDescent="0.3">
      <c r="A102" t="s">
        <v>451</v>
      </c>
      <c r="B102" t="s">
        <v>453</v>
      </c>
      <c r="C102" t="s">
        <v>454</v>
      </c>
      <c r="D102" t="s">
        <v>38</v>
      </c>
      <c r="E102" t="s">
        <v>45</v>
      </c>
      <c r="F102" t="s">
        <v>112</v>
      </c>
      <c r="G102">
        <v>61</v>
      </c>
      <c r="H102">
        <v>2</v>
      </c>
      <c r="I102">
        <v>0.1</v>
      </c>
      <c r="J102">
        <v>10</v>
      </c>
      <c r="K102" t="s">
        <v>18</v>
      </c>
      <c r="L102" s="1">
        <v>45041</v>
      </c>
    </row>
    <row r="103" spans="1:12" x14ac:dyDescent="0.3">
      <c r="A103" t="s">
        <v>455</v>
      </c>
      <c r="B103" t="s">
        <v>457</v>
      </c>
      <c r="C103" t="s">
        <v>2004</v>
      </c>
      <c r="D103" t="s">
        <v>38</v>
      </c>
      <c r="E103" t="s">
        <v>32</v>
      </c>
      <c r="F103" t="s">
        <v>117</v>
      </c>
      <c r="G103">
        <v>1010</v>
      </c>
      <c r="H103">
        <v>1</v>
      </c>
      <c r="I103">
        <v>0.2</v>
      </c>
      <c r="J103">
        <v>152</v>
      </c>
      <c r="K103" t="s">
        <v>26</v>
      </c>
      <c r="L103" s="1">
        <v>45042</v>
      </c>
    </row>
    <row r="104" spans="1:12" x14ac:dyDescent="0.3">
      <c r="A104" t="s">
        <v>458</v>
      </c>
      <c r="B104" t="s">
        <v>1944</v>
      </c>
      <c r="C104" t="s">
        <v>461</v>
      </c>
      <c r="D104" t="s">
        <v>38</v>
      </c>
      <c r="E104" t="s">
        <v>16</v>
      </c>
      <c r="F104" t="s">
        <v>123</v>
      </c>
      <c r="G104">
        <v>610</v>
      </c>
      <c r="H104">
        <v>1</v>
      </c>
      <c r="I104">
        <v>0</v>
      </c>
      <c r="J104">
        <v>82</v>
      </c>
      <c r="K104" t="s">
        <v>18</v>
      </c>
      <c r="L104" s="1">
        <v>45043</v>
      </c>
    </row>
    <row r="105" spans="1:12" x14ac:dyDescent="0.3">
      <c r="A105" t="s">
        <v>462</v>
      </c>
      <c r="B105" t="s">
        <v>464</v>
      </c>
      <c r="C105" t="s">
        <v>465</v>
      </c>
      <c r="D105" t="s">
        <v>38</v>
      </c>
      <c r="E105" t="s">
        <v>45</v>
      </c>
      <c r="F105" t="s">
        <v>129</v>
      </c>
      <c r="G105">
        <v>31</v>
      </c>
      <c r="H105">
        <v>3</v>
      </c>
      <c r="I105">
        <v>0</v>
      </c>
      <c r="J105">
        <v>5</v>
      </c>
      <c r="K105" t="s">
        <v>26</v>
      </c>
      <c r="L105" s="1">
        <v>45044</v>
      </c>
    </row>
    <row r="106" spans="1:12" x14ac:dyDescent="0.3">
      <c r="A106" t="s">
        <v>466</v>
      </c>
      <c r="B106" t="s">
        <v>468</v>
      </c>
      <c r="C106" t="s">
        <v>469</v>
      </c>
      <c r="D106" t="s">
        <v>38</v>
      </c>
      <c r="E106" t="s">
        <v>32</v>
      </c>
      <c r="F106" t="s">
        <v>135</v>
      </c>
      <c r="G106">
        <v>-310</v>
      </c>
      <c r="H106">
        <v>1</v>
      </c>
      <c r="I106">
        <v>0</v>
      </c>
      <c r="J106">
        <v>-21</v>
      </c>
      <c r="K106" t="s">
        <v>18</v>
      </c>
      <c r="L106" s="1">
        <v>45045</v>
      </c>
    </row>
    <row r="107" spans="1:12" x14ac:dyDescent="0.3">
      <c r="A107" t="s">
        <v>470</v>
      </c>
      <c r="B107" t="s">
        <v>472</v>
      </c>
      <c r="C107" t="s">
        <v>473</v>
      </c>
      <c r="D107" t="s">
        <v>38</v>
      </c>
      <c r="E107" t="s">
        <v>16</v>
      </c>
      <c r="F107" t="s">
        <v>141</v>
      </c>
      <c r="G107">
        <v>81</v>
      </c>
      <c r="H107">
        <v>2</v>
      </c>
      <c r="I107">
        <v>0.1</v>
      </c>
      <c r="J107">
        <v>15</v>
      </c>
      <c r="K107" t="s">
        <v>26</v>
      </c>
      <c r="L107" s="1">
        <v>45046</v>
      </c>
    </row>
    <row r="108" spans="1:12" x14ac:dyDescent="0.3">
      <c r="A108" t="s">
        <v>474</v>
      </c>
      <c r="B108" t="s">
        <v>476</v>
      </c>
      <c r="C108" t="s">
        <v>477</v>
      </c>
      <c r="D108" t="s">
        <v>38</v>
      </c>
      <c r="E108" t="s">
        <v>45</v>
      </c>
      <c r="F108" t="s">
        <v>146</v>
      </c>
      <c r="G108">
        <v>15</v>
      </c>
      <c r="H108">
        <v>5</v>
      </c>
      <c r="I108">
        <v>0</v>
      </c>
      <c r="J108">
        <v>5</v>
      </c>
      <c r="K108" t="s">
        <v>18</v>
      </c>
      <c r="L108" s="1">
        <v>44931</v>
      </c>
    </row>
    <row r="109" spans="1:12" x14ac:dyDescent="0.3">
      <c r="A109" t="s">
        <v>478</v>
      </c>
      <c r="B109" t="s">
        <v>480</v>
      </c>
      <c r="C109" t="s">
        <v>481</v>
      </c>
      <c r="D109" t="s">
        <v>38</v>
      </c>
      <c r="E109" t="s">
        <v>32</v>
      </c>
      <c r="F109" t="s">
        <v>152</v>
      </c>
      <c r="G109">
        <v>41</v>
      </c>
      <c r="H109">
        <v>4</v>
      </c>
      <c r="I109">
        <v>0</v>
      </c>
      <c r="J109">
        <v>10</v>
      </c>
      <c r="K109" t="s">
        <v>26</v>
      </c>
      <c r="L109" s="1">
        <v>45048</v>
      </c>
    </row>
    <row r="110" spans="1:12" x14ac:dyDescent="0.3">
      <c r="A110" t="s">
        <v>482</v>
      </c>
      <c r="B110" t="s">
        <v>484</v>
      </c>
      <c r="C110" t="s">
        <v>485</v>
      </c>
      <c r="D110" t="s">
        <v>38</v>
      </c>
      <c r="E110" t="s">
        <v>16</v>
      </c>
      <c r="F110" t="s">
        <v>158</v>
      </c>
      <c r="G110">
        <v>51</v>
      </c>
      <c r="H110">
        <v>2</v>
      </c>
      <c r="I110">
        <v>0</v>
      </c>
      <c r="J110">
        <v>10</v>
      </c>
      <c r="K110" t="s">
        <v>18</v>
      </c>
      <c r="L110" s="1">
        <v>45049</v>
      </c>
    </row>
    <row r="111" spans="1:12" x14ac:dyDescent="0.3">
      <c r="A111" t="s">
        <v>486</v>
      </c>
      <c r="B111" t="s">
        <v>488</v>
      </c>
      <c r="C111" t="s">
        <v>2004</v>
      </c>
      <c r="D111" t="s">
        <v>38</v>
      </c>
      <c r="E111" t="s">
        <v>45</v>
      </c>
      <c r="F111" t="s">
        <v>163</v>
      </c>
      <c r="G111">
        <v>20</v>
      </c>
      <c r="H111">
        <v>1</v>
      </c>
      <c r="I111">
        <v>0</v>
      </c>
      <c r="J111">
        <v>5</v>
      </c>
      <c r="K111" t="s">
        <v>26</v>
      </c>
      <c r="L111" s="1">
        <v>45021</v>
      </c>
    </row>
    <row r="112" spans="1:12" x14ac:dyDescent="0.3">
      <c r="A112" t="s">
        <v>489</v>
      </c>
      <c r="B112" t="s">
        <v>491</v>
      </c>
      <c r="C112" t="s">
        <v>492</v>
      </c>
      <c r="D112" t="s">
        <v>38</v>
      </c>
      <c r="E112" t="s">
        <v>32</v>
      </c>
      <c r="F112" t="s">
        <v>168</v>
      </c>
      <c r="G112">
        <v>61</v>
      </c>
      <c r="H112">
        <v>2</v>
      </c>
      <c r="I112">
        <v>0.1</v>
      </c>
      <c r="J112">
        <v>10</v>
      </c>
      <c r="K112" t="s">
        <v>18</v>
      </c>
      <c r="L112" s="1">
        <v>45051</v>
      </c>
    </row>
    <row r="113" spans="1:12" x14ac:dyDescent="0.3">
      <c r="A113" t="s">
        <v>493</v>
      </c>
      <c r="B113" t="s">
        <v>495</v>
      </c>
      <c r="C113" t="s">
        <v>496</v>
      </c>
      <c r="D113" t="s">
        <v>38</v>
      </c>
      <c r="E113" t="s">
        <v>16</v>
      </c>
      <c r="F113" t="s">
        <v>174</v>
      </c>
      <c r="G113">
        <v>25</v>
      </c>
      <c r="H113">
        <v>3</v>
      </c>
      <c r="I113">
        <v>0</v>
      </c>
      <c r="J113">
        <v>5</v>
      </c>
      <c r="K113" t="s">
        <v>26</v>
      </c>
      <c r="L113" s="1">
        <v>45082</v>
      </c>
    </row>
    <row r="114" spans="1:12" x14ac:dyDescent="0.3">
      <c r="A114" t="s">
        <v>497</v>
      </c>
      <c r="B114" t="s">
        <v>1945</v>
      </c>
      <c r="C114" t="s">
        <v>44</v>
      </c>
      <c r="D114" t="s">
        <v>31</v>
      </c>
      <c r="E114" t="s">
        <v>16</v>
      </c>
      <c r="F114" t="s">
        <v>17</v>
      </c>
      <c r="G114">
        <v>1190</v>
      </c>
      <c r="H114">
        <v>1</v>
      </c>
      <c r="I114">
        <v>0.1</v>
      </c>
      <c r="J114">
        <v>148</v>
      </c>
      <c r="K114" t="s">
        <v>18</v>
      </c>
      <c r="L114" s="1">
        <v>45112</v>
      </c>
    </row>
    <row r="115" spans="1:12" x14ac:dyDescent="0.3">
      <c r="A115" t="s">
        <v>500</v>
      </c>
      <c r="B115" t="s">
        <v>1946</v>
      </c>
      <c r="C115" t="s">
        <v>503</v>
      </c>
      <c r="D115" t="s">
        <v>31</v>
      </c>
      <c r="E115" t="s">
        <v>45</v>
      </c>
      <c r="F115" t="s">
        <v>25</v>
      </c>
      <c r="G115">
        <v>26</v>
      </c>
      <c r="H115">
        <v>2</v>
      </c>
      <c r="I115">
        <v>0</v>
      </c>
      <c r="J115">
        <v>11</v>
      </c>
      <c r="K115" t="s">
        <v>26</v>
      </c>
      <c r="L115" s="1">
        <v>45054</v>
      </c>
    </row>
    <row r="116" spans="1:12" x14ac:dyDescent="0.3">
      <c r="A116" t="s">
        <v>504</v>
      </c>
      <c r="B116" t="s">
        <v>506</v>
      </c>
      <c r="C116" t="s">
        <v>2004</v>
      </c>
      <c r="D116" t="s">
        <v>31</v>
      </c>
      <c r="E116" t="s">
        <v>32</v>
      </c>
      <c r="F116" t="s">
        <v>33</v>
      </c>
      <c r="G116">
        <v>-510</v>
      </c>
      <c r="H116">
        <v>1</v>
      </c>
      <c r="I116">
        <v>0</v>
      </c>
      <c r="J116">
        <v>-52</v>
      </c>
      <c r="K116" t="s">
        <v>18</v>
      </c>
      <c r="L116" s="1">
        <v>45055</v>
      </c>
    </row>
    <row r="117" spans="1:12" x14ac:dyDescent="0.3">
      <c r="A117" t="s">
        <v>507</v>
      </c>
      <c r="B117" t="s">
        <v>1947</v>
      </c>
      <c r="C117" t="s">
        <v>78</v>
      </c>
      <c r="D117" t="s">
        <v>31</v>
      </c>
      <c r="E117" t="s">
        <v>16</v>
      </c>
      <c r="F117" t="s">
        <v>39</v>
      </c>
      <c r="G117">
        <v>830</v>
      </c>
      <c r="H117">
        <v>1</v>
      </c>
      <c r="I117">
        <v>0.05</v>
      </c>
      <c r="J117">
        <v>108</v>
      </c>
      <c r="K117" t="s">
        <v>18</v>
      </c>
      <c r="L117" s="1">
        <v>45204</v>
      </c>
    </row>
    <row r="118" spans="1:12" x14ac:dyDescent="0.3">
      <c r="A118" t="s">
        <v>510</v>
      </c>
      <c r="B118" t="s">
        <v>512</v>
      </c>
      <c r="C118" t="s">
        <v>88</v>
      </c>
      <c r="D118" t="s">
        <v>31</v>
      </c>
      <c r="E118" t="s">
        <v>45</v>
      </c>
      <c r="F118" t="s">
        <v>46</v>
      </c>
      <c r="G118">
        <v>54</v>
      </c>
      <c r="H118">
        <v>3</v>
      </c>
      <c r="I118">
        <v>0</v>
      </c>
      <c r="J118">
        <v>17</v>
      </c>
      <c r="K118" t="s">
        <v>26</v>
      </c>
      <c r="L118" s="1">
        <v>45235</v>
      </c>
    </row>
    <row r="119" spans="1:12" x14ac:dyDescent="0.3">
      <c r="A119" t="s">
        <v>513</v>
      </c>
      <c r="B119" t="s">
        <v>515</v>
      </c>
      <c r="C119" t="s">
        <v>99</v>
      </c>
      <c r="D119" t="s">
        <v>31</v>
      </c>
      <c r="E119" t="s">
        <v>32</v>
      </c>
      <c r="F119" t="s">
        <v>53</v>
      </c>
      <c r="G119">
        <v>158</v>
      </c>
      <c r="H119">
        <v>4</v>
      </c>
      <c r="I119">
        <v>0.1</v>
      </c>
      <c r="J119">
        <v>23</v>
      </c>
      <c r="K119" t="s">
        <v>26</v>
      </c>
      <c r="L119" s="1">
        <v>45058</v>
      </c>
    </row>
    <row r="120" spans="1:12" x14ac:dyDescent="0.3">
      <c r="A120" t="s">
        <v>516</v>
      </c>
      <c r="B120" t="s">
        <v>518</v>
      </c>
      <c r="C120" t="s">
        <v>145</v>
      </c>
      <c r="D120" t="s">
        <v>31</v>
      </c>
      <c r="E120" t="s">
        <v>16</v>
      </c>
      <c r="F120" t="s">
        <v>59</v>
      </c>
      <c r="G120">
        <v>308</v>
      </c>
      <c r="H120">
        <v>2</v>
      </c>
      <c r="I120">
        <v>0</v>
      </c>
      <c r="J120">
        <v>44</v>
      </c>
      <c r="K120" t="s">
        <v>18</v>
      </c>
      <c r="L120" s="1">
        <v>45059</v>
      </c>
    </row>
    <row r="121" spans="1:12" x14ac:dyDescent="0.3">
      <c r="A121" t="s">
        <v>519</v>
      </c>
      <c r="B121" t="s">
        <v>521</v>
      </c>
      <c r="C121" t="s">
        <v>2004</v>
      </c>
      <c r="D121" t="s">
        <v>31</v>
      </c>
      <c r="E121" t="s">
        <v>45</v>
      </c>
      <c r="F121" t="s">
        <v>63</v>
      </c>
      <c r="G121">
        <v>79</v>
      </c>
      <c r="H121">
        <v>1</v>
      </c>
      <c r="I121">
        <v>0.2</v>
      </c>
      <c r="J121">
        <v>17</v>
      </c>
      <c r="K121" t="s">
        <v>26</v>
      </c>
      <c r="L121" s="1">
        <v>45060</v>
      </c>
    </row>
    <row r="122" spans="1:12" x14ac:dyDescent="0.3">
      <c r="A122" t="s">
        <v>522</v>
      </c>
      <c r="B122" t="s">
        <v>524</v>
      </c>
      <c r="C122" t="s">
        <v>525</v>
      </c>
      <c r="D122" t="s">
        <v>31</v>
      </c>
      <c r="E122" t="s">
        <v>32</v>
      </c>
      <c r="F122" t="s">
        <v>68</v>
      </c>
      <c r="G122">
        <v>940</v>
      </c>
      <c r="H122">
        <v>1</v>
      </c>
      <c r="I122">
        <v>0.15</v>
      </c>
      <c r="J122">
        <v>108</v>
      </c>
      <c r="K122" t="s">
        <v>18</v>
      </c>
      <c r="L122" s="1">
        <v>45061</v>
      </c>
    </row>
    <row r="123" spans="1:12" hidden="1" x14ac:dyDescent="0.3">
      <c r="A123" t="s">
        <v>526</v>
      </c>
      <c r="B123" t="s">
        <v>528</v>
      </c>
      <c r="C123" t="s">
        <v>529</v>
      </c>
      <c r="D123" t="s">
        <v>31</v>
      </c>
      <c r="E123" t="s">
        <v>16</v>
      </c>
      <c r="F123" t="s">
        <v>73</v>
      </c>
      <c r="G123">
        <v>108</v>
      </c>
      <c r="H123">
        <v>0</v>
      </c>
      <c r="I123">
        <v>0</v>
      </c>
      <c r="J123">
        <v>24</v>
      </c>
      <c r="K123" t="s">
        <v>26</v>
      </c>
      <c r="L123" s="1">
        <v>45062</v>
      </c>
    </row>
    <row r="124" spans="1:12" hidden="1" x14ac:dyDescent="0.3">
      <c r="A124" t="s">
        <v>530</v>
      </c>
      <c r="B124" t="s">
        <v>532</v>
      </c>
      <c r="C124" t="s">
        <v>209</v>
      </c>
      <c r="D124" t="s">
        <v>31</v>
      </c>
      <c r="E124" t="s">
        <v>45</v>
      </c>
      <c r="F124" t="s">
        <v>79</v>
      </c>
      <c r="G124">
        <v>128</v>
      </c>
      <c r="H124">
        <v>-1</v>
      </c>
      <c r="I124">
        <v>0</v>
      </c>
      <c r="J124">
        <v>34</v>
      </c>
      <c r="K124" t="s">
        <v>18</v>
      </c>
      <c r="L124" s="1">
        <v>45063</v>
      </c>
    </row>
    <row r="125" spans="1:12" x14ac:dyDescent="0.3">
      <c r="A125" t="s">
        <v>533</v>
      </c>
      <c r="B125" t="s">
        <v>535</v>
      </c>
      <c r="C125" t="s">
        <v>536</v>
      </c>
      <c r="D125" t="s">
        <v>31</v>
      </c>
      <c r="E125" t="s">
        <v>32</v>
      </c>
      <c r="F125" t="s">
        <v>84</v>
      </c>
      <c r="G125">
        <v>358</v>
      </c>
      <c r="H125">
        <v>1</v>
      </c>
      <c r="I125">
        <v>0.1</v>
      </c>
      <c r="J125">
        <v>44</v>
      </c>
      <c r="K125" t="s">
        <v>26</v>
      </c>
      <c r="L125" s="1">
        <v>45064</v>
      </c>
    </row>
    <row r="126" spans="1:12" x14ac:dyDescent="0.3">
      <c r="A126" t="s">
        <v>537</v>
      </c>
      <c r="B126" t="s">
        <v>539</v>
      </c>
      <c r="C126" t="s">
        <v>540</v>
      </c>
      <c r="D126" t="s">
        <v>31</v>
      </c>
      <c r="E126" t="s">
        <v>16</v>
      </c>
      <c r="F126" t="s">
        <v>89</v>
      </c>
      <c r="G126">
        <v>258</v>
      </c>
      <c r="H126">
        <v>2</v>
      </c>
      <c r="I126">
        <v>0.05</v>
      </c>
      <c r="J126">
        <v>34</v>
      </c>
      <c r="K126" t="s">
        <v>18</v>
      </c>
      <c r="L126" s="1">
        <v>45065</v>
      </c>
    </row>
    <row r="127" spans="1:12" x14ac:dyDescent="0.3">
      <c r="A127" t="s">
        <v>541</v>
      </c>
      <c r="B127" t="s">
        <v>543</v>
      </c>
      <c r="C127" t="s">
        <v>217</v>
      </c>
      <c r="D127" t="s">
        <v>31</v>
      </c>
      <c r="E127" t="s">
        <v>45</v>
      </c>
      <c r="F127" t="s">
        <v>95</v>
      </c>
      <c r="G127">
        <v>158</v>
      </c>
      <c r="H127">
        <v>1</v>
      </c>
      <c r="I127">
        <v>0</v>
      </c>
      <c r="J127">
        <v>29</v>
      </c>
      <c r="K127" t="s">
        <v>26</v>
      </c>
      <c r="L127" s="1">
        <v>45066</v>
      </c>
    </row>
    <row r="128" spans="1:12" x14ac:dyDescent="0.3">
      <c r="A128" t="s">
        <v>544</v>
      </c>
      <c r="B128" t="s">
        <v>546</v>
      </c>
      <c r="C128" t="s">
        <v>213</v>
      </c>
      <c r="D128" t="s">
        <v>31</v>
      </c>
      <c r="E128" t="s">
        <v>32</v>
      </c>
      <c r="F128" t="s">
        <v>100</v>
      </c>
      <c r="G128">
        <v>208</v>
      </c>
      <c r="H128">
        <v>1</v>
      </c>
      <c r="I128">
        <v>0.1</v>
      </c>
      <c r="J128">
        <v>24</v>
      </c>
      <c r="K128" t="s">
        <v>18</v>
      </c>
      <c r="L128" s="1">
        <v>45067</v>
      </c>
    </row>
    <row r="129" spans="1:12" x14ac:dyDescent="0.3">
      <c r="A129" t="s">
        <v>547</v>
      </c>
      <c r="B129" t="s">
        <v>549</v>
      </c>
      <c r="C129" t="s">
        <v>550</v>
      </c>
      <c r="D129" t="s">
        <v>31</v>
      </c>
      <c r="E129" t="s">
        <v>16</v>
      </c>
      <c r="F129" t="s">
        <v>106</v>
      </c>
      <c r="G129">
        <v>208</v>
      </c>
      <c r="H129">
        <v>1</v>
      </c>
      <c r="I129">
        <v>0</v>
      </c>
      <c r="J129">
        <v>44</v>
      </c>
      <c r="K129" t="s">
        <v>26</v>
      </c>
      <c r="L129" s="1">
        <v>45068</v>
      </c>
    </row>
    <row r="130" spans="1:12" x14ac:dyDescent="0.3">
      <c r="A130" t="s">
        <v>551</v>
      </c>
      <c r="B130" t="s">
        <v>553</v>
      </c>
      <c r="C130" t="s">
        <v>229</v>
      </c>
      <c r="D130" t="s">
        <v>31</v>
      </c>
      <c r="E130" t="s">
        <v>45</v>
      </c>
      <c r="F130" t="s">
        <v>112</v>
      </c>
      <c r="G130">
        <v>64</v>
      </c>
      <c r="H130">
        <v>2</v>
      </c>
      <c r="I130">
        <v>0.1</v>
      </c>
      <c r="J130">
        <v>13</v>
      </c>
      <c r="K130" t="s">
        <v>18</v>
      </c>
      <c r="L130" s="1">
        <v>45069</v>
      </c>
    </row>
    <row r="131" spans="1:12" x14ac:dyDescent="0.3">
      <c r="A131" t="s">
        <v>554</v>
      </c>
      <c r="B131" t="s">
        <v>556</v>
      </c>
      <c r="C131" t="s">
        <v>2004</v>
      </c>
      <c r="D131" t="s">
        <v>31</v>
      </c>
      <c r="E131" t="s">
        <v>32</v>
      </c>
      <c r="F131" t="s">
        <v>117</v>
      </c>
      <c r="G131">
        <v>1040</v>
      </c>
      <c r="H131">
        <v>1</v>
      </c>
      <c r="I131">
        <v>0.2</v>
      </c>
      <c r="J131">
        <v>158</v>
      </c>
      <c r="K131" t="s">
        <v>26</v>
      </c>
      <c r="L131" s="1">
        <v>45070</v>
      </c>
    </row>
    <row r="132" spans="1:12" x14ac:dyDescent="0.3">
      <c r="A132" t="s">
        <v>557</v>
      </c>
      <c r="B132" t="s">
        <v>559</v>
      </c>
      <c r="C132" t="s">
        <v>233</v>
      </c>
      <c r="D132" t="s">
        <v>31</v>
      </c>
      <c r="E132" t="s">
        <v>16</v>
      </c>
      <c r="F132" t="s">
        <v>123</v>
      </c>
      <c r="G132">
        <v>640</v>
      </c>
      <c r="H132">
        <v>1</v>
      </c>
      <c r="I132">
        <v>0</v>
      </c>
      <c r="J132">
        <v>88</v>
      </c>
      <c r="K132" t="s">
        <v>18</v>
      </c>
      <c r="L132" s="1">
        <v>45071</v>
      </c>
    </row>
    <row r="133" spans="1:12" x14ac:dyDescent="0.3">
      <c r="A133" t="s">
        <v>560</v>
      </c>
      <c r="B133" t="s">
        <v>562</v>
      </c>
      <c r="C133" t="s">
        <v>237</v>
      </c>
      <c r="D133" t="s">
        <v>31</v>
      </c>
      <c r="E133" t="s">
        <v>45</v>
      </c>
      <c r="F133" t="s">
        <v>129</v>
      </c>
      <c r="G133">
        <v>34</v>
      </c>
      <c r="H133">
        <v>3</v>
      </c>
      <c r="I133">
        <v>0</v>
      </c>
      <c r="J133">
        <v>7</v>
      </c>
      <c r="K133" t="s">
        <v>26</v>
      </c>
      <c r="L133" s="1">
        <v>45072</v>
      </c>
    </row>
    <row r="134" spans="1:12" x14ac:dyDescent="0.3">
      <c r="A134" t="s">
        <v>563</v>
      </c>
      <c r="B134" t="s">
        <v>565</v>
      </c>
      <c r="C134" t="s">
        <v>225</v>
      </c>
      <c r="D134" t="s">
        <v>31</v>
      </c>
      <c r="E134" t="s">
        <v>32</v>
      </c>
      <c r="F134" t="s">
        <v>135</v>
      </c>
      <c r="G134">
        <v>-340</v>
      </c>
      <c r="H134">
        <v>1</v>
      </c>
      <c r="I134">
        <v>0</v>
      </c>
      <c r="J134">
        <v>-24</v>
      </c>
      <c r="K134" t="s">
        <v>18</v>
      </c>
      <c r="L134" s="1">
        <v>45073</v>
      </c>
    </row>
    <row r="135" spans="1:12" x14ac:dyDescent="0.3">
      <c r="A135" t="s">
        <v>566</v>
      </c>
      <c r="B135" t="s">
        <v>1948</v>
      </c>
      <c r="C135" t="s">
        <v>241</v>
      </c>
      <c r="D135" t="s">
        <v>31</v>
      </c>
      <c r="E135" t="s">
        <v>16</v>
      </c>
      <c r="F135" t="s">
        <v>141</v>
      </c>
      <c r="G135">
        <v>84</v>
      </c>
      <c r="H135">
        <v>2</v>
      </c>
      <c r="I135">
        <v>0.1</v>
      </c>
      <c r="J135">
        <v>17</v>
      </c>
      <c r="K135" t="s">
        <v>26</v>
      </c>
      <c r="L135" s="1">
        <v>45074</v>
      </c>
    </row>
    <row r="136" spans="1:12" x14ac:dyDescent="0.3">
      <c r="A136" t="s">
        <v>569</v>
      </c>
      <c r="B136" t="s">
        <v>571</v>
      </c>
      <c r="C136" t="s">
        <v>572</v>
      </c>
      <c r="D136" t="s">
        <v>31</v>
      </c>
      <c r="E136" t="s">
        <v>45</v>
      </c>
      <c r="F136" t="s">
        <v>146</v>
      </c>
      <c r="G136">
        <v>17</v>
      </c>
      <c r="H136">
        <v>5</v>
      </c>
      <c r="I136">
        <v>0</v>
      </c>
      <c r="J136">
        <v>7</v>
      </c>
      <c r="K136" t="s">
        <v>18</v>
      </c>
      <c r="L136" s="1">
        <v>45075</v>
      </c>
    </row>
    <row r="137" spans="1:12" x14ac:dyDescent="0.3">
      <c r="A137" t="s">
        <v>573</v>
      </c>
      <c r="B137" t="s">
        <v>575</v>
      </c>
      <c r="C137" t="s">
        <v>221</v>
      </c>
      <c r="D137" t="s">
        <v>31</v>
      </c>
      <c r="E137" t="s">
        <v>32</v>
      </c>
      <c r="F137" t="s">
        <v>152</v>
      </c>
      <c r="G137">
        <v>44</v>
      </c>
      <c r="H137">
        <v>4</v>
      </c>
      <c r="I137">
        <v>0</v>
      </c>
      <c r="J137">
        <v>13</v>
      </c>
      <c r="K137" t="s">
        <v>26</v>
      </c>
      <c r="L137" s="1">
        <v>45076</v>
      </c>
    </row>
    <row r="138" spans="1:12" x14ac:dyDescent="0.3">
      <c r="A138" t="s">
        <v>576</v>
      </c>
      <c r="B138" t="s">
        <v>578</v>
      </c>
      <c r="C138" t="s">
        <v>579</v>
      </c>
      <c r="D138" t="s">
        <v>31</v>
      </c>
      <c r="E138" t="s">
        <v>16</v>
      </c>
      <c r="F138" t="s">
        <v>158</v>
      </c>
      <c r="G138">
        <v>54</v>
      </c>
      <c r="H138">
        <v>2</v>
      </c>
      <c r="I138">
        <v>0</v>
      </c>
      <c r="J138">
        <v>13</v>
      </c>
      <c r="K138" t="s">
        <v>18</v>
      </c>
      <c r="L138" s="1">
        <v>45077</v>
      </c>
    </row>
    <row r="139" spans="1:12" x14ac:dyDescent="0.3">
      <c r="A139" t="s">
        <v>580</v>
      </c>
      <c r="B139" t="s">
        <v>582</v>
      </c>
      <c r="C139" t="s">
        <v>2004</v>
      </c>
      <c r="D139" t="s">
        <v>31</v>
      </c>
      <c r="E139" t="s">
        <v>45</v>
      </c>
      <c r="F139" t="s">
        <v>163</v>
      </c>
      <c r="G139">
        <v>24</v>
      </c>
      <c r="H139">
        <v>1</v>
      </c>
      <c r="I139">
        <v>0</v>
      </c>
      <c r="J139">
        <v>7</v>
      </c>
      <c r="K139" t="s">
        <v>26</v>
      </c>
      <c r="L139" s="1">
        <v>44932</v>
      </c>
    </row>
    <row r="140" spans="1:12" x14ac:dyDescent="0.3">
      <c r="A140" t="s">
        <v>583</v>
      </c>
      <c r="B140" t="s">
        <v>585</v>
      </c>
      <c r="C140" t="s">
        <v>586</v>
      </c>
      <c r="D140" t="s">
        <v>31</v>
      </c>
      <c r="E140" t="s">
        <v>32</v>
      </c>
      <c r="F140" t="s">
        <v>168</v>
      </c>
      <c r="G140">
        <v>64</v>
      </c>
      <c r="H140">
        <v>2</v>
      </c>
      <c r="I140">
        <v>0.1</v>
      </c>
      <c r="J140">
        <v>13</v>
      </c>
      <c r="K140" t="s">
        <v>18</v>
      </c>
      <c r="L140" s="1">
        <v>45079</v>
      </c>
    </row>
    <row r="141" spans="1:12" x14ac:dyDescent="0.3">
      <c r="A141" t="s">
        <v>587</v>
      </c>
      <c r="B141" t="s">
        <v>589</v>
      </c>
      <c r="C141" t="s">
        <v>590</v>
      </c>
      <c r="D141" t="s">
        <v>31</v>
      </c>
      <c r="E141" t="s">
        <v>16</v>
      </c>
      <c r="F141" t="s">
        <v>174</v>
      </c>
      <c r="G141">
        <v>29</v>
      </c>
      <c r="H141">
        <v>3</v>
      </c>
      <c r="I141">
        <v>0</v>
      </c>
      <c r="J141">
        <v>7</v>
      </c>
      <c r="K141" t="s">
        <v>26</v>
      </c>
      <c r="L141" s="1">
        <v>44991</v>
      </c>
    </row>
    <row r="142" spans="1:12" x14ac:dyDescent="0.3">
      <c r="A142" t="s">
        <v>591</v>
      </c>
      <c r="B142" t="s">
        <v>1949</v>
      </c>
      <c r="C142" t="s">
        <v>57</v>
      </c>
      <c r="D142" t="s">
        <v>58</v>
      </c>
      <c r="E142" t="s">
        <v>16</v>
      </c>
      <c r="F142" t="s">
        <v>17</v>
      </c>
      <c r="G142">
        <v>1210</v>
      </c>
      <c r="H142">
        <v>1</v>
      </c>
      <c r="I142">
        <v>0.1</v>
      </c>
      <c r="J142">
        <v>152</v>
      </c>
      <c r="K142" t="s">
        <v>18</v>
      </c>
      <c r="L142" s="1">
        <v>45022</v>
      </c>
    </row>
    <row r="143" spans="1:12" x14ac:dyDescent="0.3">
      <c r="A143" t="s">
        <v>594</v>
      </c>
      <c r="B143" t="s">
        <v>690</v>
      </c>
      <c r="C143" t="s">
        <v>597</v>
      </c>
      <c r="D143" t="s">
        <v>58</v>
      </c>
      <c r="E143" t="s">
        <v>45</v>
      </c>
      <c r="F143" t="s">
        <v>25</v>
      </c>
      <c r="G143">
        <v>27</v>
      </c>
      <c r="H143">
        <v>2</v>
      </c>
      <c r="I143">
        <v>0</v>
      </c>
      <c r="J143">
        <v>12</v>
      </c>
      <c r="K143" t="s">
        <v>26</v>
      </c>
      <c r="L143" s="1">
        <v>45082</v>
      </c>
    </row>
    <row r="144" spans="1:12" x14ac:dyDescent="0.3">
      <c r="A144" t="s">
        <v>598</v>
      </c>
      <c r="B144" t="s">
        <v>600</v>
      </c>
      <c r="C144" t="s">
        <v>2004</v>
      </c>
      <c r="D144" t="s">
        <v>58</v>
      </c>
      <c r="E144" t="s">
        <v>32</v>
      </c>
      <c r="F144" t="s">
        <v>33</v>
      </c>
      <c r="G144">
        <v>-520</v>
      </c>
      <c r="H144">
        <v>1</v>
      </c>
      <c r="I144">
        <v>0</v>
      </c>
      <c r="J144">
        <v>-54</v>
      </c>
      <c r="K144" t="s">
        <v>18</v>
      </c>
      <c r="L144" s="1">
        <v>45083</v>
      </c>
    </row>
    <row r="145" spans="1:12" x14ac:dyDescent="0.3">
      <c r="A145" t="s">
        <v>601</v>
      </c>
      <c r="B145" t="s">
        <v>1950</v>
      </c>
      <c r="C145" t="s">
        <v>604</v>
      </c>
      <c r="D145" t="s">
        <v>58</v>
      </c>
      <c r="E145" t="s">
        <v>16</v>
      </c>
      <c r="F145" t="s">
        <v>39</v>
      </c>
      <c r="G145">
        <v>840</v>
      </c>
      <c r="H145">
        <v>1</v>
      </c>
      <c r="I145">
        <v>0.05</v>
      </c>
      <c r="J145">
        <v>112</v>
      </c>
      <c r="K145" t="s">
        <v>18</v>
      </c>
      <c r="L145" s="1">
        <v>45113</v>
      </c>
    </row>
    <row r="146" spans="1:12" x14ac:dyDescent="0.3">
      <c r="A146" t="s">
        <v>605</v>
      </c>
      <c r="B146" t="s">
        <v>607</v>
      </c>
      <c r="C146" t="s">
        <v>608</v>
      </c>
      <c r="D146" t="s">
        <v>58</v>
      </c>
      <c r="E146" t="s">
        <v>45</v>
      </c>
      <c r="F146" t="s">
        <v>46</v>
      </c>
      <c r="G146">
        <v>56</v>
      </c>
      <c r="H146">
        <v>3</v>
      </c>
      <c r="I146">
        <v>0</v>
      </c>
      <c r="J146">
        <v>19</v>
      </c>
      <c r="K146" t="s">
        <v>26</v>
      </c>
      <c r="L146" s="1">
        <v>45144</v>
      </c>
    </row>
    <row r="147" spans="1:12" x14ac:dyDescent="0.3">
      <c r="A147" t="s">
        <v>609</v>
      </c>
      <c r="B147" t="s">
        <v>611</v>
      </c>
      <c r="C147" t="s">
        <v>612</v>
      </c>
      <c r="D147" t="s">
        <v>58</v>
      </c>
      <c r="E147" t="s">
        <v>32</v>
      </c>
      <c r="F147" t="s">
        <v>53</v>
      </c>
      <c r="G147">
        <v>162</v>
      </c>
      <c r="H147">
        <v>4</v>
      </c>
      <c r="I147">
        <v>0.1</v>
      </c>
      <c r="J147">
        <v>24</v>
      </c>
      <c r="K147" t="s">
        <v>26</v>
      </c>
      <c r="L147" s="1">
        <v>45086</v>
      </c>
    </row>
    <row r="148" spans="1:12" x14ac:dyDescent="0.3">
      <c r="A148" t="s">
        <v>613</v>
      </c>
      <c r="B148" t="s">
        <v>615</v>
      </c>
      <c r="C148" t="s">
        <v>616</v>
      </c>
      <c r="D148" t="s">
        <v>58</v>
      </c>
      <c r="E148" t="s">
        <v>16</v>
      </c>
      <c r="F148" t="s">
        <v>59</v>
      </c>
      <c r="G148">
        <v>312</v>
      </c>
      <c r="H148">
        <v>2</v>
      </c>
      <c r="I148">
        <v>0</v>
      </c>
      <c r="J148">
        <v>46</v>
      </c>
      <c r="K148" t="s">
        <v>18</v>
      </c>
      <c r="L148" s="1">
        <v>45205</v>
      </c>
    </row>
    <row r="149" spans="1:12" x14ac:dyDescent="0.3">
      <c r="A149" t="s">
        <v>617</v>
      </c>
      <c r="B149" t="s">
        <v>619</v>
      </c>
      <c r="C149" t="s">
        <v>2004</v>
      </c>
      <c r="D149" t="s">
        <v>58</v>
      </c>
      <c r="E149" t="s">
        <v>45</v>
      </c>
      <c r="F149" t="s">
        <v>63</v>
      </c>
      <c r="G149">
        <v>82</v>
      </c>
      <c r="H149">
        <v>1</v>
      </c>
      <c r="I149">
        <v>0.2</v>
      </c>
      <c r="J149">
        <v>19</v>
      </c>
      <c r="K149" t="s">
        <v>26</v>
      </c>
      <c r="L149" s="1">
        <v>45236</v>
      </c>
    </row>
    <row r="150" spans="1:12" x14ac:dyDescent="0.3">
      <c r="A150" t="s">
        <v>620</v>
      </c>
      <c r="B150" t="s">
        <v>622</v>
      </c>
      <c r="C150" t="s">
        <v>623</v>
      </c>
      <c r="D150" t="s">
        <v>58</v>
      </c>
      <c r="E150" t="s">
        <v>32</v>
      </c>
      <c r="F150" t="s">
        <v>68</v>
      </c>
      <c r="G150">
        <v>960</v>
      </c>
      <c r="H150">
        <v>1</v>
      </c>
      <c r="I150">
        <v>0.15</v>
      </c>
      <c r="J150">
        <v>112</v>
      </c>
      <c r="K150" t="s">
        <v>18</v>
      </c>
      <c r="L150" s="1">
        <v>45089</v>
      </c>
    </row>
    <row r="151" spans="1:12" hidden="1" x14ac:dyDescent="0.3">
      <c r="A151" t="s">
        <v>624</v>
      </c>
      <c r="B151" t="s">
        <v>626</v>
      </c>
      <c r="C151" t="s">
        <v>627</v>
      </c>
      <c r="D151" t="s">
        <v>58</v>
      </c>
      <c r="E151" t="s">
        <v>16</v>
      </c>
      <c r="F151" t="s">
        <v>73</v>
      </c>
      <c r="G151">
        <v>112</v>
      </c>
      <c r="H151">
        <v>0</v>
      </c>
      <c r="I151">
        <v>0</v>
      </c>
      <c r="J151">
        <v>26</v>
      </c>
      <c r="K151" t="s">
        <v>26</v>
      </c>
      <c r="L151" s="1">
        <v>45090</v>
      </c>
    </row>
    <row r="152" spans="1:12" hidden="1" x14ac:dyDescent="0.3">
      <c r="A152" t="s">
        <v>628</v>
      </c>
      <c r="B152" t="s">
        <v>171</v>
      </c>
      <c r="C152" t="s">
        <v>630</v>
      </c>
      <c r="D152" t="s">
        <v>58</v>
      </c>
      <c r="E152" t="s">
        <v>45</v>
      </c>
      <c r="F152" t="s">
        <v>79</v>
      </c>
      <c r="G152">
        <v>132</v>
      </c>
      <c r="H152">
        <v>-1</v>
      </c>
      <c r="I152">
        <v>0</v>
      </c>
      <c r="J152">
        <v>36</v>
      </c>
      <c r="K152" t="s">
        <v>18</v>
      </c>
      <c r="L152" s="1">
        <v>45091</v>
      </c>
    </row>
    <row r="153" spans="1:12" x14ac:dyDescent="0.3">
      <c r="A153" t="s">
        <v>631</v>
      </c>
      <c r="B153" t="s">
        <v>633</v>
      </c>
      <c r="C153" t="s">
        <v>634</v>
      </c>
      <c r="D153" t="s">
        <v>58</v>
      </c>
      <c r="E153" t="s">
        <v>32</v>
      </c>
      <c r="F153" t="s">
        <v>84</v>
      </c>
      <c r="G153">
        <v>362</v>
      </c>
      <c r="H153">
        <v>1</v>
      </c>
      <c r="I153">
        <v>0.1</v>
      </c>
      <c r="J153">
        <v>46</v>
      </c>
      <c r="K153" t="s">
        <v>26</v>
      </c>
      <c r="L153" s="1">
        <v>45092</v>
      </c>
    </row>
    <row r="154" spans="1:12" x14ac:dyDescent="0.3">
      <c r="A154" t="s">
        <v>635</v>
      </c>
      <c r="B154" t="s">
        <v>637</v>
      </c>
      <c r="C154" t="s">
        <v>638</v>
      </c>
      <c r="D154" t="s">
        <v>58</v>
      </c>
      <c r="E154" t="s">
        <v>16</v>
      </c>
      <c r="F154" t="s">
        <v>89</v>
      </c>
      <c r="G154">
        <v>262</v>
      </c>
      <c r="H154">
        <v>2</v>
      </c>
      <c r="I154">
        <v>0.05</v>
      </c>
      <c r="J154">
        <v>36</v>
      </c>
      <c r="K154" t="s">
        <v>18</v>
      </c>
      <c r="L154" s="1">
        <v>45093</v>
      </c>
    </row>
    <row r="155" spans="1:12" x14ac:dyDescent="0.3">
      <c r="A155" t="s">
        <v>639</v>
      </c>
      <c r="B155" t="s">
        <v>641</v>
      </c>
      <c r="C155" t="s">
        <v>642</v>
      </c>
      <c r="D155" t="s">
        <v>58</v>
      </c>
      <c r="E155" t="s">
        <v>45</v>
      </c>
      <c r="F155" t="s">
        <v>95</v>
      </c>
      <c r="G155">
        <v>162</v>
      </c>
      <c r="H155">
        <v>1</v>
      </c>
      <c r="I155">
        <v>0</v>
      </c>
      <c r="J155">
        <v>31</v>
      </c>
      <c r="K155" t="s">
        <v>26</v>
      </c>
      <c r="L155" s="1">
        <v>45094</v>
      </c>
    </row>
    <row r="156" spans="1:12" x14ac:dyDescent="0.3">
      <c r="A156" t="s">
        <v>643</v>
      </c>
      <c r="B156" t="s">
        <v>645</v>
      </c>
      <c r="C156" t="s">
        <v>646</v>
      </c>
      <c r="D156" t="s">
        <v>58</v>
      </c>
      <c r="E156" t="s">
        <v>32</v>
      </c>
      <c r="F156" t="s">
        <v>100</v>
      </c>
      <c r="G156">
        <v>212</v>
      </c>
      <c r="H156">
        <v>1</v>
      </c>
      <c r="I156">
        <v>0.1</v>
      </c>
      <c r="J156">
        <v>26</v>
      </c>
      <c r="K156" t="s">
        <v>18</v>
      </c>
      <c r="L156" s="1">
        <v>45095</v>
      </c>
    </row>
    <row r="157" spans="1:12" x14ac:dyDescent="0.3">
      <c r="A157" t="s">
        <v>647</v>
      </c>
      <c r="B157" t="s">
        <v>649</v>
      </c>
      <c r="C157" t="s">
        <v>650</v>
      </c>
      <c r="D157" t="s">
        <v>58</v>
      </c>
      <c r="E157" t="s">
        <v>16</v>
      </c>
      <c r="F157" t="s">
        <v>106</v>
      </c>
      <c r="G157">
        <v>212</v>
      </c>
      <c r="H157">
        <v>1</v>
      </c>
      <c r="I157">
        <v>0</v>
      </c>
      <c r="J157">
        <v>46</v>
      </c>
      <c r="K157" t="s">
        <v>26</v>
      </c>
      <c r="L157" s="1">
        <v>45096</v>
      </c>
    </row>
    <row r="158" spans="1:12" x14ac:dyDescent="0.3">
      <c r="A158" t="s">
        <v>651</v>
      </c>
      <c r="B158" t="s">
        <v>653</v>
      </c>
      <c r="C158" t="s">
        <v>654</v>
      </c>
      <c r="D158" t="s">
        <v>58</v>
      </c>
      <c r="E158" t="s">
        <v>45</v>
      </c>
      <c r="F158" t="s">
        <v>112</v>
      </c>
      <c r="G158">
        <v>66</v>
      </c>
      <c r="H158">
        <v>2</v>
      </c>
      <c r="I158">
        <v>0.1</v>
      </c>
      <c r="J158">
        <v>14</v>
      </c>
      <c r="K158" t="s">
        <v>18</v>
      </c>
      <c r="L158" s="1">
        <v>45097</v>
      </c>
    </row>
    <row r="159" spans="1:12" x14ac:dyDescent="0.3">
      <c r="A159" t="s">
        <v>655</v>
      </c>
      <c r="B159" t="s">
        <v>657</v>
      </c>
      <c r="C159" t="s">
        <v>2004</v>
      </c>
      <c r="D159" t="s">
        <v>58</v>
      </c>
      <c r="E159" t="s">
        <v>32</v>
      </c>
      <c r="F159" t="s">
        <v>117</v>
      </c>
      <c r="G159">
        <v>1060</v>
      </c>
      <c r="H159">
        <v>1</v>
      </c>
      <c r="I159">
        <v>0.2</v>
      </c>
      <c r="J159">
        <v>162</v>
      </c>
      <c r="K159" t="s">
        <v>26</v>
      </c>
      <c r="L159" s="1">
        <v>45098</v>
      </c>
    </row>
    <row r="160" spans="1:12" x14ac:dyDescent="0.3">
      <c r="A160" t="s">
        <v>658</v>
      </c>
      <c r="B160" t="s">
        <v>660</v>
      </c>
      <c r="C160" t="s">
        <v>661</v>
      </c>
      <c r="D160" t="s">
        <v>58</v>
      </c>
      <c r="E160" t="s">
        <v>16</v>
      </c>
      <c r="F160" t="s">
        <v>123</v>
      </c>
      <c r="G160">
        <v>660</v>
      </c>
      <c r="H160">
        <v>1</v>
      </c>
      <c r="I160">
        <v>0</v>
      </c>
      <c r="J160">
        <v>92</v>
      </c>
      <c r="K160" t="s">
        <v>18</v>
      </c>
      <c r="L160" s="1">
        <v>45099</v>
      </c>
    </row>
    <row r="161" spans="1:12" x14ac:dyDescent="0.3">
      <c r="A161" t="s">
        <v>662</v>
      </c>
      <c r="B161" t="s">
        <v>664</v>
      </c>
      <c r="C161" t="s">
        <v>665</v>
      </c>
      <c r="D161" t="s">
        <v>58</v>
      </c>
      <c r="E161" t="s">
        <v>45</v>
      </c>
      <c r="F161" t="s">
        <v>129</v>
      </c>
      <c r="G161">
        <v>36</v>
      </c>
      <c r="H161">
        <v>3</v>
      </c>
      <c r="I161">
        <v>0</v>
      </c>
      <c r="J161">
        <v>8</v>
      </c>
      <c r="K161" t="s">
        <v>26</v>
      </c>
      <c r="L161" s="1">
        <v>45100</v>
      </c>
    </row>
    <row r="162" spans="1:12" x14ac:dyDescent="0.3">
      <c r="A162" t="s">
        <v>666</v>
      </c>
      <c r="B162" t="s">
        <v>668</v>
      </c>
      <c r="C162" t="s">
        <v>669</v>
      </c>
      <c r="D162" t="s">
        <v>58</v>
      </c>
      <c r="E162" t="s">
        <v>32</v>
      </c>
      <c r="F162" t="s">
        <v>135</v>
      </c>
      <c r="G162">
        <v>-360</v>
      </c>
      <c r="H162">
        <v>1</v>
      </c>
      <c r="I162">
        <v>0</v>
      </c>
      <c r="J162">
        <v>-26</v>
      </c>
      <c r="K162" t="s">
        <v>18</v>
      </c>
      <c r="L162" s="1">
        <v>45101</v>
      </c>
    </row>
    <row r="163" spans="1:12" x14ac:dyDescent="0.3">
      <c r="A163" t="s">
        <v>670</v>
      </c>
      <c r="B163" t="s">
        <v>672</v>
      </c>
      <c r="C163" t="s">
        <v>673</v>
      </c>
      <c r="D163" t="s">
        <v>58</v>
      </c>
      <c r="E163" t="s">
        <v>16</v>
      </c>
      <c r="F163" t="s">
        <v>141</v>
      </c>
      <c r="G163">
        <v>86</v>
      </c>
      <c r="H163">
        <v>2</v>
      </c>
      <c r="I163">
        <v>0.1</v>
      </c>
      <c r="J163">
        <v>19</v>
      </c>
      <c r="K163" t="s">
        <v>26</v>
      </c>
      <c r="L163" s="1">
        <v>45102</v>
      </c>
    </row>
    <row r="164" spans="1:12" x14ac:dyDescent="0.3">
      <c r="A164" t="s">
        <v>674</v>
      </c>
      <c r="B164" t="s">
        <v>676</v>
      </c>
      <c r="C164" t="s">
        <v>677</v>
      </c>
      <c r="D164" t="s">
        <v>58</v>
      </c>
      <c r="E164" t="s">
        <v>45</v>
      </c>
      <c r="F164" t="s">
        <v>146</v>
      </c>
      <c r="G164">
        <v>19</v>
      </c>
      <c r="H164">
        <v>5</v>
      </c>
      <c r="I164">
        <v>0</v>
      </c>
      <c r="J164">
        <v>8</v>
      </c>
      <c r="K164" t="s">
        <v>18</v>
      </c>
      <c r="L164" s="1">
        <v>45103</v>
      </c>
    </row>
    <row r="165" spans="1:12" x14ac:dyDescent="0.3">
      <c r="A165" t="s">
        <v>678</v>
      </c>
      <c r="B165" t="s">
        <v>680</v>
      </c>
      <c r="C165" t="s">
        <v>681</v>
      </c>
      <c r="D165" t="s">
        <v>58</v>
      </c>
      <c r="E165" t="s">
        <v>32</v>
      </c>
      <c r="F165" t="s">
        <v>152</v>
      </c>
      <c r="G165">
        <v>46</v>
      </c>
      <c r="H165">
        <v>4</v>
      </c>
      <c r="I165">
        <v>0</v>
      </c>
      <c r="J165">
        <v>14</v>
      </c>
      <c r="K165" t="s">
        <v>26</v>
      </c>
      <c r="L165" s="1">
        <v>45104</v>
      </c>
    </row>
    <row r="166" spans="1:12" x14ac:dyDescent="0.3">
      <c r="A166" t="s">
        <v>682</v>
      </c>
      <c r="B166" t="s">
        <v>585</v>
      </c>
      <c r="C166" t="s">
        <v>684</v>
      </c>
      <c r="D166" t="s">
        <v>58</v>
      </c>
      <c r="E166" t="s">
        <v>16</v>
      </c>
      <c r="F166" t="s">
        <v>158</v>
      </c>
      <c r="G166">
        <v>56</v>
      </c>
      <c r="H166">
        <v>2</v>
      </c>
      <c r="I166">
        <v>0</v>
      </c>
      <c r="J166">
        <v>14</v>
      </c>
      <c r="K166" t="s">
        <v>18</v>
      </c>
      <c r="L166" s="1">
        <v>45105</v>
      </c>
    </row>
    <row r="167" spans="1:12" x14ac:dyDescent="0.3">
      <c r="A167" t="s">
        <v>685</v>
      </c>
      <c r="B167" t="s">
        <v>687</v>
      </c>
      <c r="C167" t="s">
        <v>2004</v>
      </c>
      <c r="D167" t="s">
        <v>58</v>
      </c>
      <c r="E167" t="s">
        <v>45</v>
      </c>
      <c r="F167" t="s">
        <v>163</v>
      </c>
      <c r="G167">
        <v>26</v>
      </c>
      <c r="H167">
        <v>1</v>
      </c>
      <c r="I167">
        <v>0</v>
      </c>
      <c r="J167">
        <v>8</v>
      </c>
      <c r="K167" t="s">
        <v>26</v>
      </c>
      <c r="L167" s="1">
        <v>45106</v>
      </c>
    </row>
    <row r="168" spans="1:12" x14ac:dyDescent="0.3">
      <c r="A168" t="s">
        <v>688</v>
      </c>
      <c r="B168" t="s">
        <v>690</v>
      </c>
      <c r="C168" t="s">
        <v>691</v>
      </c>
      <c r="D168" t="s">
        <v>58</v>
      </c>
      <c r="E168" t="s">
        <v>32</v>
      </c>
      <c r="F168" t="s">
        <v>168</v>
      </c>
      <c r="G168">
        <v>66</v>
      </c>
      <c r="H168">
        <v>2</v>
      </c>
      <c r="I168">
        <v>0.1</v>
      </c>
      <c r="J168">
        <v>14</v>
      </c>
      <c r="K168" t="s">
        <v>18</v>
      </c>
      <c r="L168" s="1">
        <v>45107</v>
      </c>
    </row>
    <row r="169" spans="1:12" x14ac:dyDescent="0.3">
      <c r="A169" t="s">
        <v>692</v>
      </c>
      <c r="B169" t="s">
        <v>694</v>
      </c>
      <c r="C169" t="s">
        <v>695</v>
      </c>
      <c r="D169" t="s">
        <v>58</v>
      </c>
      <c r="E169" t="s">
        <v>16</v>
      </c>
      <c r="F169" t="s">
        <v>174</v>
      </c>
      <c r="G169">
        <v>31</v>
      </c>
      <c r="H169">
        <v>3</v>
      </c>
      <c r="I169">
        <v>0</v>
      </c>
      <c r="J169">
        <v>8</v>
      </c>
      <c r="K169" t="s">
        <v>26</v>
      </c>
      <c r="L169" s="1">
        <v>44933</v>
      </c>
    </row>
    <row r="170" spans="1:12" x14ac:dyDescent="0.3">
      <c r="A170" t="s">
        <v>696</v>
      </c>
      <c r="B170" t="s">
        <v>1951</v>
      </c>
      <c r="C170" t="s">
        <v>50</v>
      </c>
      <c r="D170" t="s">
        <v>51</v>
      </c>
      <c r="E170" t="s">
        <v>16</v>
      </c>
      <c r="F170" t="s">
        <v>17</v>
      </c>
      <c r="G170">
        <v>1220</v>
      </c>
      <c r="H170">
        <v>1</v>
      </c>
      <c r="I170">
        <v>0.1</v>
      </c>
      <c r="J170">
        <v>155</v>
      </c>
      <c r="K170" t="s">
        <v>18</v>
      </c>
      <c r="L170" s="1">
        <v>44964</v>
      </c>
    </row>
    <row r="171" spans="1:12" x14ac:dyDescent="0.3">
      <c r="A171" t="s">
        <v>699</v>
      </c>
      <c r="B171" t="s">
        <v>1952</v>
      </c>
      <c r="C171" t="s">
        <v>702</v>
      </c>
      <c r="D171" t="s">
        <v>51</v>
      </c>
      <c r="E171" t="s">
        <v>45</v>
      </c>
      <c r="F171" t="s">
        <v>25</v>
      </c>
      <c r="G171">
        <v>28</v>
      </c>
      <c r="H171">
        <v>2</v>
      </c>
      <c r="I171">
        <v>0</v>
      </c>
      <c r="J171">
        <v>13</v>
      </c>
      <c r="K171" t="s">
        <v>26</v>
      </c>
      <c r="L171" s="1">
        <v>45110</v>
      </c>
    </row>
    <row r="172" spans="1:12" x14ac:dyDescent="0.3">
      <c r="A172" t="s">
        <v>703</v>
      </c>
      <c r="B172" t="s">
        <v>705</v>
      </c>
      <c r="C172" t="s">
        <v>2004</v>
      </c>
      <c r="D172" t="s">
        <v>51</v>
      </c>
      <c r="E172" t="s">
        <v>32</v>
      </c>
      <c r="F172" t="s">
        <v>33</v>
      </c>
      <c r="G172">
        <v>-530</v>
      </c>
      <c r="H172">
        <v>1</v>
      </c>
      <c r="I172">
        <v>0</v>
      </c>
      <c r="J172">
        <v>-56</v>
      </c>
      <c r="K172" t="s">
        <v>18</v>
      </c>
      <c r="L172" s="1">
        <v>45111</v>
      </c>
    </row>
    <row r="173" spans="1:12" x14ac:dyDescent="0.3">
      <c r="A173" t="s">
        <v>706</v>
      </c>
      <c r="B173" t="s">
        <v>1953</v>
      </c>
      <c r="C173" t="s">
        <v>709</v>
      </c>
      <c r="D173" t="s">
        <v>51</v>
      </c>
      <c r="E173" t="s">
        <v>16</v>
      </c>
      <c r="F173" t="s">
        <v>39</v>
      </c>
      <c r="G173">
        <v>860</v>
      </c>
      <c r="H173">
        <v>1</v>
      </c>
      <c r="I173">
        <v>0.05</v>
      </c>
      <c r="J173">
        <v>115</v>
      </c>
      <c r="K173" t="s">
        <v>18</v>
      </c>
      <c r="L173" s="1">
        <v>45053</v>
      </c>
    </row>
    <row r="174" spans="1:12" x14ac:dyDescent="0.3">
      <c r="A174" t="s">
        <v>710</v>
      </c>
      <c r="B174" t="s">
        <v>712</v>
      </c>
      <c r="C174" t="s">
        <v>713</v>
      </c>
      <c r="D174" t="s">
        <v>51</v>
      </c>
      <c r="E174" t="s">
        <v>45</v>
      </c>
      <c r="F174" t="s">
        <v>46</v>
      </c>
      <c r="G174">
        <v>58</v>
      </c>
      <c r="H174">
        <v>3</v>
      </c>
      <c r="I174">
        <v>0</v>
      </c>
      <c r="J174">
        <v>21</v>
      </c>
      <c r="K174" t="s">
        <v>26</v>
      </c>
      <c r="L174" s="1">
        <v>45084</v>
      </c>
    </row>
    <row r="175" spans="1:12" x14ac:dyDescent="0.3">
      <c r="A175" t="s">
        <v>714</v>
      </c>
      <c r="B175" t="s">
        <v>716</v>
      </c>
      <c r="C175" t="s">
        <v>385</v>
      </c>
      <c r="D175" t="s">
        <v>51</v>
      </c>
      <c r="E175" t="s">
        <v>32</v>
      </c>
      <c r="F175" t="s">
        <v>53</v>
      </c>
      <c r="G175">
        <v>165</v>
      </c>
      <c r="H175">
        <v>4</v>
      </c>
      <c r="I175">
        <v>0.1</v>
      </c>
      <c r="J175">
        <v>25</v>
      </c>
      <c r="K175" t="s">
        <v>26</v>
      </c>
      <c r="L175" s="1">
        <v>45114</v>
      </c>
    </row>
    <row r="176" spans="1:12" x14ac:dyDescent="0.3">
      <c r="A176" t="s">
        <v>717</v>
      </c>
      <c r="B176" t="s">
        <v>719</v>
      </c>
      <c r="C176" t="s">
        <v>720</v>
      </c>
      <c r="D176" t="s">
        <v>51</v>
      </c>
      <c r="E176" t="s">
        <v>16</v>
      </c>
      <c r="F176" t="s">
        <v>59</v>
      </c>
      <c r="G176">
        <v>315</v>
      </c>
      <c r="H176">
        <v>2</v>
      </c>
      <c r="I176">
        <v>0</v>
      </c>
      <c r="J176">
        <v>48</v>
      </c>
      <c r="K176" t="s">
        <v>18</v>
      </c>
      <c r="L176" s="1">
        <v>45145</v>
      </c>
    </row>
    <row r="177" spans="1:12" x14ac:dyDescent="0.3">
      <c r="A177" t="s">
        <v>721</v>
      </c>
      <c r="B177" t="s">
        <v>723</v>
      </c>
      <c r="C177" t="s">
        <v>2004</v>
      </c>
      <c r="D177" t="s">
        <v>51</v>
      </c>
      <c r="E177" t="s">
        <v>45</v>
      </c>
      <c r="F177" t="s">
        <v>63</v>
      </c>
      <c r="G177">
        <v>85</v>
      </c>
      <c r="H177">
        <v>1</v>
      </c>
      <c r="I177">
        <v>0.2</v>
      </c>
      <c r="J177">
        <v>21</v>
      </c>
      <c r="K177" t="s">
        <v>26</v>
      </c>
      <c r="L177" s="1">
        <v>45176</v>
      </c>
    </row>
    <row r="178" spans="1:12" x14ac:dyDescent="0.3">
      <c r="A178" t="s">
        <v>724</v>
      </c>
      <c r="B178" t="s">
        <v>726</v>
      </c>
      <c r="C178" t="s">
        <v>727</v>
      </c>
      <c r="D178" t="s">
        <v>51</v>
      </c>
      <c r="E178" t="s">
        <v>32</v>
      </c>
      <c r="F178" t="s">
        <v>68</v>
      </c>
      <c r="G178">
        <v>980</v>
      </c>
      <c r="H178">
        <v>1</v>
      </c>
      <c r="I178">
        <v>0.15</v>
      </c>
      <c r="J178">
        <v>115</v>
      </c>
      <c r="K178" t="s">
        <v>18</v>
      </c>
      <c r="L178" s="1">
        <v>45117</v>
      </c>
    </row>
    <row r="179" spans="1:12" hidden="1" x14ac:dyDescent="0.3">
      <c r="A179" t="s">
        <v>728</v>
      </c>
      <c r="B179" t="s">
        <v>730</v>
      </c>
      <c r="C179" t="s">
        <v>731</v>
      </c>
      <c r="D179" t="s">
        <v>51</v>
      </c>
      <c r="E179" t="s">
        <v>16</v>
      </c>
      <c r="F179" t="s">
        <v>73</v>
      </c>
      <c r="G179">
        <v>115</v>
      </c>
      <c r="H179">
        <v>0</v>
      </c>
      <c r="I179">
        <v>0</v>
      </c>
      <c r="J179">
        <v>28</v>
      </c>
      <c r="K179" t="s">
        <v>26</v>
      </c>
      <c r="L179" s="1">
        <v>45237</v>
      </c>
    </row>
    <row r="180" spans="1:12" hidden="1" x14ac:dyDescent="0.3">
      <c r="A180" t="s">
        <v>732</v>
      </c>
      <c r="B180" t="s">
        <v>734</v>
      </c>
      <c r="C180" t="s">
        <v>422</v>
      </c>
      <c r="D180" t="s">
        <v>51</v>
      </c>
      <c r="E180" t="s">
        <v>45</v>
      </c>
      <c r="F180" t="s">
        <v>79</v>
      </c>
      <c r="G180">
        <v>135</v>
      </c>
      <c r="H180">
        <v>-1</v>
      </c>
      <c r="I180">
        <v>0</v>
      </c>
      <c r="J180">
        <v>38</v>
      </c>
      <c r="K180" t="s">
        <v>18</v>
      </c>
      <c r="L180" s="1">
        <v>45267</v>
      </c>
    </row>
    <row r="181" spans="1:12" x14ac:dyDescent="0.3">
      <c r="A181" t="s">
        <v>735</v>
      </c>
      <c r="B181" t="s">
        <v>737</v>
      </c>
      <c r="C181" t="s">
        <v>738</v>
      </c>
      <c r="D181" t="s">
        <v>51</v>
      </c>
      <c r="E181" t="s">
        <v>32</v>
      </c>
      <c r="F181" t="s">
        <v>84</v>
      </c>
      <c r="G181">
        <v>365</v>
      </c>
      <c r="H181">
        <v>1</v>
      </c>
      <c r="I181">
        <v>0.1</v>
      </c>
      <c r="J181">
        <v>48</v>
      </c>
      <c r="K181" t="s">
        <v>26</v>
      </c>
      <c r="L181" s="1">
        <v>45120</v>
      </c>
    </row>
    <row r="182" spans="1:12" x14ac:dyDescent="0.3">
      <c r="A182" t="s">
        <v>739</v>
      </c>
      <c r="B182" t="s">
        <v>741</v>
      </c>
      <c r="C182" t="s">
        <v>742</v>
      </c>
      <c r="D182" t="s">
        <v>51</v>
      </c>
      <c r="E182" t="s">
        <v>16</v>
      </c>
      <c r="F182" t="s">
        <v>89</v>
      </c>
      <c r="G182">
        <v>265</v>
      </c>
      <c r="H182">
        <v>2</v>
      </c>
      <c r="I182">
        <v>0.05</v>
      </c>
      <c r="J182">
        <v>38</v>
      </c>
      <c r="K182" t="s">
        <v>18</v>
      </c>
      <c r="L182" s="1">
        <v>45121</v>
      </c>
    </row>
    <row r="183" spans="1:12" x14ac:dyDescent="0.3">
      <c r="A183" t="s">
        <v>743</v>
      </c>
      <c r="B183" t="s">
        <v>745</v>
      </c>
      <c r="C183" t="s">
        <v>746</v>
      </c>
      <c r="D183" t="s">
        <v>51</v>
      </c>
      <c r="E183" t="s">
        <v>45</v>
      </c>
      <c r="F183" t="s">
        <v>95</v>
      </c>
      <c r="G183">
        <v>165</v>
      </c>
      <c r="H183">
        <v>1</v>
      </c>
      <c r="I183">
        <v>0</v>
      </c>
      <c r="J183">
        <v>33</v>
      </c>
      <c r="K183" t="s">
        <v>26</v>
      </c>
      <c r="L183" s="1">
        <v>45122</v>
      </c>
    </row>
    <row r="184" spans="1:12" x14ac:dyDescent="0.3">
      <c r="A184" t="s">
        <v>747</v>
      </c>
      <c r="B184" t="s">
        <v>749</v>
      </c>
      <c r="C184" t="s">
        <v>750</v>
      </c>
      <c r="D184" t="s">
        <v>51</v>
      </c>
      <c r="E184" t="s">
        <v>32</v>
      </c>
      <c r="F184" t="s">
        <v>100</v>
      </c>
      <c r="G184">
        <v>215</v>
      </c>
      <c r="H184">
        <v>1</v>
      </c>
      <c r="I184">
        <v>0.1</v>
      </c>
      <c r="J184">
        <v>28</v>
      </c>
      <c r="K184" t="s">
        <v>18</v>
      </c>
      <c r="L184" s="1">
        <v>45123</v>
      </c>
    </row>
    <row r="185" spans="1:12" x14ac:dyDescent="0.3">
      <c r="A185" t="s">
        <v>751</v>
      </c>
      <c r="B185" t="s">
        <v>753</v>
      </c>
      <c r="C185" t="s">
        <v>754</v>
      </c>
      <c r="D185" t="s">
        <v>51</v>
      </c>
      <c r="E185" t="s">
        <v>16</v>
      </c>
      <c r="F185" t="s">
        <v>106</v>
      </c>
      <c r="G185">
        <v>215</v>
      </c>
      <c r="H185">
        <v>1</v>
      </c>
      <c r="I185">
        <v>0</v>
      </c>
      <c r="J185">
        <v>48</v>
      </c>
      <c r="K185" t="s">
        <v>26</v>
      </c>
      <c r="L185" s="1">
        <v>45124</v>
      </c>
    </row>
    <row r="186" spans="1:12" x14ac:dyDescent="0.3">
      <c r="A186" t="s">
        <v>755</v>
      </c>
      <c r="B186" t="s">
        <v>757</v>
      </c>
      <c r="C186" t="s">
        <v>758</v>
      </c>
      <c r="D186" t="s">
        <v>51</v>
      </c>
      <c r="E186" t="s">
        <v>45</v>
      </c>
      <c r="F186" t="s">
        <v>112</v>
      </c>
      <c r="G186">
        <v>68</v>
      </c>
      <c r="H186">
        <v>2</v>
      </c>
      <c r="I186">
        <v>0.1</v>
      </c>
      <c r="J186">
        <v>15</v>
      </c>
      <c r="K186" t="s">
        <v>18</v>
      </c>
      <c r="L186" s="1">
        <v>45125</v>
      </c>
    </row>
    <row r="187" spans="1:12" x14ac:dyDescent="0.3">
      <c r="A187" t="s">
        <v>759</v>
      </c>
      <c r="B187" t="s">
        <v>761</v>
      </c>
      <c r="C187" t="s">
        <v>2004</v>
      </c>
      <c r="D187" t="s">
        <v>51</v>
      </c>
      <c r="E187" t="s">
        <v>32</v>
      </c>
      <c r="F187" t="s">
        <v>117</v>
      </c>
      <c r="G187">
        <v>1080</v>
      </c>
      <c r="H187">
        <v>1</v>
      </c>
      <c r="I187">
        <v>0.2</v>
      </c>
      <c r="J187">
        <v>165</v>
      </c>
      <c r="K187" t="s">
        <v>26</v>
      </c>
      <c r="L187" s="1">
        <v>45126</v>
      </c>
    </row>
    <row r="188" spans="1:12" x14ac:dyDescent="0.3">
      <c r="A188" t="s">
        <v>762</v>
      </c>
      <c r="B188" t="s">
        <v>764</v>
      </c>
      <c r="C188" t="s">
        <v>765</v>
      </c>
      <c r="D188" t="s">
        <v>51</v>
      </c>
      <c r="E188" t="s">
        <v>16</v>
      </c>
      <c r="F188" t="s">
        <v>123</v>
      </c>
      <c r="G188">
        <v>680</v>
      </c>
      <c r="H188">
        <v>1</v>
      </c>
      <c r="I188">
        <v>0</v>
      </c>
      <c r="J188">
        <v>95</v>
      </c>
      <c r="K188" t="s">
        <v>18</v>
      </c>
      <c r="L188" s="1">
        <v>45127</v>
      </c>
    </row>
    <row r="189" spans="1:12" x14ac:dyDescent="0.3">
      <c r="A189" t="s">
        <v>766</v>
      </c>
      <c r="B189" t="s">
        <v>768</v>
      </c>
      <c r="C189" t="s">
        <v>769</v>
      </c>
      <c r="D189" t="s">
        <v>51</v>
      </c>
      <c r="E189" t="s">
        <v>45</v>
      </c>
      <c r="F189" t="s">
        <v>129</v>
      </c>
      <c r="G189">
        <v>38</v>
      </c>
      <c r="H189">
        <v>3</v>
      </c>
      <c r="I189">
        <v>0</v>
      </c>
      <c r="J189">
        <v>9</v>
      </c>
      <c r="K189" t="s">
        <v>26</v>
      </c>
      <c r="L189" s="1">
        <v>45128</v>
      </c>
    </row>
    <row r="190" spans="1:12" x14ac:dyDescent="0.3">
      <c r="A190" t="s">
        <v>770</v>
      </c>
      <c r="B190" t="s">
        <v>772</v>
      </c>
      <c r="C190" t="s">
        <v>773</v>
      </c>
      <c r="D190" t="s">
        <v>51</v>
      </c>
      <c r="E190" t="s">
        <v>32</v>
      </c>
      <c r="F190" t="s">
        <v>135</v>
      </c>
      <c r="G190">
        <v>-380</v>
      </c>
      <c r="H190">
        <v>1</v>
      </c>
      <c r="I190">
        <v>0</v>
      </c>
      <c r="J190">
        <v>-28</v>
      </c>
      <c r="K190" t="s">
        <v>18</v>
      </c>
      <c r="L190" s="1">
        <v>45129</v>
      </c>
    </row>
    <row r="191" spans="1:12" x14ac:dyDescent="0.3">
      <c r="A191" t="s">
        <v>774</v>
      </c>
      <c r="B191" t="s">
        <v>776</v>
      </c>
      <c r="C191" t="s">
        <v>777</v>
      </c>
      <c r="D191" t="s">
        <v>51</v>
      </c>
      <c r="E191" t="s">
        <v>16</v>
      </c>
      <c r="F191" t="s">
        <v>141</v>
      </c>
      <c r="G191">
        <v>88</v>
      </c>
      <c r="H191">
        <v>2</v>
      </c>
      <c r="I191">
        <v>0.1</v>
      </c>
      <c r="J191">
        <v>21</v>
      </c>
      <c r="K191" t="s">
        <v>26</v>
      </c>
      <c r="L191" s="1">
        <v>45130</v>
      </c>
    </row>
    <row r="192" spans="1:12" x14ac:dyDescent="0.3">
      <c r="A192" t="s">
        <v>778</v>
      </c>
      <c r="B192" t="s">
        <v>780</v>
      </c>
      <c r="C192" t="s">
        <v>781</v>
      </c>
      <c r="D192" t="s">
        <v>51</v>
      </c>
      <c r="E192" t="s">
        <v>45</v>
      </c>
      <c r="F192" t="s">
        <v>146</v>
      </c>
      <c r="G192">
        <v>21</v>
      </c>
      <c r="H192">
        <v>5</v>
      </c>
      <c r="I192">
        <v>0</v>
      </c>
      <c r="J192">
        <v>9</v>
      </c>
      <c r="K192" t="s">
        <v>18</v>
      </c>
      <c r="L192" s="1">
        <v>45131</v>
      </c>
    </row>
    <row r="193" spans="1:12" x14ac:dyDescent="0.3">
      <c r="A193" t="s">
        <v>782</v>
      </c>
      <c r="B193" t="s">
        <v>784</v>
      </c>
      <c r="C193" t="s">
        <v>785</v>
      </c>
      <c r="D193" t="s">
        <v>51</v>
      </c>
      <c r="E193" t="s">
        <v>32</v>
      </c>
      <c r="F193" t="s">
        <v>152</v>
      </c>
      <c r="G193">
        <v>48</v>
      </c>
      <c r="H193">
        <v>4</v>
      </c>
      <c r="I193">
        <v>0</v>
      </c>
      <c r="J193">
        <v>15</v>
      </c>
      <c r="K193" t="s">
        <v>26</v>
      </c>
      <c r="L193" s="1">
        <v>45132</v>
      </c>
    </row>
    <row r="194" spans="1:12" x14ac:dyDescent="0.3">
      <c r="A194" t="s">
        <v>786</v>
      </c>
      <c r="B194" t="s">
        <v>788</v>
      </c>
      <c r="C194" t="s">
        <v>789</v>
      </c>
      <c r="D194" t="s">
        <v>51</v>
      </c>
      <c r="E194" t="s">
        <v>16</v>
      </c>
      <c r="F194" t="s">
        <v>158</v>
      </c>
      <c r="G194">
        <v>58</v>
      </c>
      <c r="H194">
        <v>2</v>
      </c>
      <c r="I194">
        <v>0</v>
      </c>
      <c r="J194">
        <v>15</v>
      </c>
      <c r="K194" t="s">
        <v>18</v>
      </c>
      <c r="L194" s="1">
        <v>45133</v>
      </c>
    </row>
    <row r="195" spans="1:12" x14ac:dyDescent="0.3">
      <c r="A195" t="s">
        <v>790</v>
      </c>
      <c r="B195" t="s">
        <v>792</v>
      </c>
      <c r="C195" t="s">
        <v>2004</v>
      </c>
      <c r="D195" t="s">
        <v>51</v>
      </c>
      <c r="E195" t="s">
        <v>45</v>
      </c>
      <c r="F195" t="s">
        <v>163</v>
      </c>
      <c r="G195">
        <v>28</v>
      </c>
      <c r="H195">
        <v>1</v>
      </c>
      <c r="I195">
        <v>0</v>
      </c>
      <c r="J195">
        <v>9</v>
      </c>
      <c r="K195" t="s">
        <v>26</v>
      </c>
      <c r="L195" s="1">
        <v>45134</v>
      </c>
    </row>
    <row r="196" spans="1:12" x14ac:dyDescent="0.3">
      <c r="A196" t="s">
        <v>793</v>
      </c>
      <c r="B196" t="s">
        <v>1954</v>
      </c>
      <c r="C196" t="s">
        <v>796</v>
      </c>
      <c r="D196" t="s">
        <v>51</v>
      </c>
      <c r="E196" t="s">
        <v>32</v>
      </c>
      <c r="F196" t="s">
        <v>168</v>
      </c>
      <c r="G196">
        <v>68</v>
      </c>
      <c r="H196">
        <v>2</v>
      </c>
      <c r="I196">
        <v>0.1</v>
      </c>
      <c r="J196">
        <v>15</v>
      </c>
      <c r="K196" t="s">
        <v>18</v>
      </c>
      <c r="L196" s="1">
        <v>45135</v>
      </c>
    </row>
    <row r="197" spans="1:12" x14ac:dyDescent="0.3">
      <c r="A197" t="s">
        <v>797</v>
      </c>
      <c r="B197" t="s">
        <v>799</v>
      </c>
      <c r="C197" t="s">
        <v>800</v>
      </c>
      <c r="D197" t="s">
        <v>51</v>
      </c>
      <c r="E197" t="s">
        <v>16</v>
      </c>
      <c r="F197" t="s">
        <v>174</v>
      </c>
      <c r="G197">
        <v>33</v>
      </c>
      <c r="H197">
        <v>3</v>
      </c>
      <c r="I197">
        <v>0</v>
      </c>
      <c r="J197">
        <v>9</v>
      </c>
      <c r="K197" t="s">
        <v>26</v>
      </c>
      <c r="L197" s="1">
        <v>45136</v>
      </c>
    </row>
    <row r="198" spans="1:12" x14ac:dyDescent="0.3">
      <c r="A198" t="s">
        <v>801</v>
      </c>
      <c r="B198" t="s">
        <v>543</v>
      </c>
      <c r="C198" t="s">
        <v>104</v>
      </c>
      <c r="D198" t="s">
        <v>105</v>
      </c>
      <c r="E198" t="s">
        <v>16</v>
      </c>
      <c r="F198" t="s">
        <v>17</v>
      </c>
      <c r="G198">
        <v>1230</v>
      </c>
      <c r="H198">
        <v>1</v>
      </c>
      <c r="I198">
        <v>0.1</v>
      </c>
      <c r="J198">
        <v>158</v>
      </c>
      <c r="K198" t="s">
        <v>18</v>
      </c>
      <c r="L198" s="1">
        <v>45137</v>
      </c>
    </row>
    <row r="199" spans="1:12" x14ac:dyDescent="0.3">
      <c r="A199" t="s">
        <v>804</v>
      </c>
      <c r="B199" t="s">
        <v>1955</v>
      </c>
      <c r="C199" t="s">
        <v>807</v>
      </c>
      <c r="D199" t="s">
        <v>105</v>
      </c>
      <c r="E199" t="s">
        <v>45</v>
      </c>
      <c r="F199" t="s">
        <v>25</v>
      </c>
      <c r="G199">
        <v>29</v>
      </c>
      <c r="H199">
        <v>2</v>
      </c>
      <c r="I199">
        <v>0</v>
      </c>
      <c r="J199">
        <v>14</v>
      </c>
      <c r="K199" t="s">
        <v>26</v>
      </c>
      <c r="L199" s="1">
        <v>45138</v>
      </c>
    </row>
    <row r="200" spans="1:12" x14ac:dyDescent="0.3">
      <c r="A200" t="s">
        <v>808</v>
      </c>
      <c r="B200" t="s">
        <v>810</v>
      </c>
      <c r="C200" t="s">
        <v>2004</v>
      </c>
      <c r="D200" t="s">
        <v>105</v>
      </c>
      <c r="E200" t="s">
        <v>32</v>
      </c>
      <c r="F200" t="s">
        <v>33</v>
      </c>
      <c r="G200">
        <v>-540</v>
      </c>
      <c r="H200">
        <v>1</v>
      </c>
      <c r="I200">
        <v>0</v>
      </c>
      <c r="J200">
        <v>-58</v>
      </c>
      <c r="K200" t="s">
        <v>18</v>
      </c>
      <c r="L200" s="1">
        <v>45139</v>
      </c>
    </row>
    <row r="201" spans="1:12" x14ac:dyDescent="0.3">
      <c r="A201" t="s">
        <v>811</v>
      </c>
      <c r="B201" t="s">
        <v>1956</v>
      </c>
      <c r="C201" t="s">
        <v>814</v>
      </c>
      <c r="D201" t="s">
        <v>105</v>
      </c>
      <c r="E201" t="s">
        <v>16</v>
      </c>
      <c r="F201" t="s">
        <v>39</v>
      </c>
      <c r="G201">
        <v>880</v>
      </c>
      <c r="H201">
        <v>1</v>
      </c>
      <c r="I201">
        <v>0.05</v>
      </c>
      <c r="J201">
        <v>118</v>
      </c>
      <c r="K201" t="s">
        <v>18</v>
      </c>
      <c r="L201" s="1">
        <v>44965</v>
      </c>
    </row>
    <row r="202" spans="1:12" x14ac:dyDescent="0.3">
      <c r="A202" t="s">
        <v>815</v>
      </c>
      <c r="B202" t="s">
        <v>817</v>
      </c>
      <c r="C202" t="s">
        <v>818</v>
      </c>
      <c r="D202" t="s">
        <v>105</v>
      </c>
      <c r="E202" t="s">
        <v>45</v>
      </c>
      <c r="F202" t="s">
        <v>46</v>
      </c>
      <c r="G202">
        <v>60</v>
      </c>
      <c r="H202">
        <v>3</v>
      </c>
      <c r="I202">
        <v>0</v>
      </c>
      <c r="J202">
        <v>23</v>
      </c>
      <c r="K202" t="s">
        <v>26</v>
      </c>
      <c r="L202" s="1">
        <v>44993</v>
      </c>
    </row>
    <row r="203" spans="1:12" x14ac:dyDescent="0.3">
      <c r="A203" t="s">
        <v>819</v>
      </c>
      <c r="B203" t="s">
        <v>821</v>
      </c>
      <c r="C203" t="s">
        <v>822</v>
      </c>
      <c r="D203" t="s">
        <v>105</v>
      </c>
      <c r="E203" t="s">
        <v>32</v>
      </c>
      <c r="F203" t="s">
        <v>53</v>
      </c>
      <c r="G203">
        <v>168</v>
      </c>
      <c r="H203">
        <v>4</v>
      </c>
      <c r="I203">
        <v>0.1</v>
      </c>
      <c r="J203">
        <v>26</v>
      </c>
      <c r="K203" t="s">
        <v>26</v>
      </c>
      <c r="L203" s="1">
        <v>45142</v>
      </c>
    </row>
    <row r="204" spans="1:12" x14ac:dyDescent="0.3">
      <c r="A204" t="s">
        <v>823</v>
      </c>
      <c r="B204" t="s">
        <v>825</v>
      </c>
      <c r="C204" t="s">
        <v>826</v>
      </c>
      <c r="D204" t="s">
        <v>105</v>
      </c>
      <c r="E204" t="s">
        <v>16</v>
      </c>
      <c r="F204" t="s">
        <v>59</v>
      </c>
      <c r="G204">
        <v>318</v>
      </c>
      <c r="H204">
        <v>2</v>
      </c>
      <c r="I204">
        <v>0</v>
      </c>
      <c r="J204">
        <v>50</v>
      </c>
      <c r="K204" t="s">
        <v>18</v>
      </c>
      <c r="L204" s="1">
        <v>45054</v>
      </c>
    </row>
    <row r="205" spans="1:12" x14ac:dyDescent="0.3">
      <c r="A205" t="s">
        <v>827</v>
      </c>
      <c r="B205" t="s">
        <v>829</v>
      </c>
      <c r="C205" t="s">
        <v>2004</v>
      </c>
      <c r="D205" t="s">
        <v>105</v>
      </c>
      <c r="E205" t="s">
        <v>45</v>
      </c>
      <c r="F205" t="s">
        <v>63</v>
      </c>
      <c r="G205">
        <v>88</v>
      </c>
      <c r="H205">
        <v>1</v>
      </c>
      <c r="I205">
        <v>0.2</v>
      </c>
      <c r="J205">
        <v>23</v>
      </c>
      <c r="K205" t="s">
        <v>26</v>
      </c>
      <c r="L205" s="1">
        <v>45085</v>
      </c>
    </row>
    <row r="206" spans="1:12" x14ac:dyDescent="0.3">
      <c r="A206" t="s">
        <v>830</v>
      </c>
      <c r="B206" t="s">
        <v>832</v>
      </c>
      <c r="C206" t="s">
        <v>833</v>
      </c>
      <c r="D206" t="s">
        <v>105</v>
      </c>
      <c r="E206" t="s">
        <v>32</v>
      </c>
      <c r="F206" t="s">
        <v>68</v>
      </c>
      <c r="G206">
        <v>990</v>
      </c>
      <c r="H206">
        <v>1</v>
      </c>
      <c r="I206">
        <v>0.15</v>
      </c>
      <c r="J206">
        <v>118</v>
      </c>
      <c r="K206" t="s">
        <v>18</v>
      </c>
      <c r="L206" s="1">
        <v>45145</v>
      </c>
    </row>
    <row r="207" spans="1:12" hidden="1" x14ac:dyDescent="0.3">
      <c r="A207" t="s">
        <v>834</v>
      </c>
      <c r="B207" t="s">
        <v>836</v>
      </c>
      <c r="C207" t="s">
        <v>837</v>
      </c>
      <c r="D207" t="s">
        <v>105</v>
      </c>
      <c r="E207" t="s">
        <v>16</v>
      </c>
      <c r="F207" t="s">
        <v>73</v>
      </c>
      <c r="G207">
        <v>118</v>
      </c>
      <c r="H207">
        <v>0</v>
      </c>
      <c r="I207">
        <v>0</v>
      </c>
      <c r="J207">
        <v>30</v>
      </c>
      <c r="K207" t="s">
        <v>26</v>
      </c>
      <c r="L207" s="1">
        <v>45146</v>
      </c>
    </row>
    <row r="208" spans="1:12" hidden="1" x14ac:dyDescent="0.3">
      <c r="A208" t="s">
        <v>838</v>
      </c>
      <c r="B208" t="s">
        <v>840</v>
      </c>
      <c r="C208" t="s">
        <v>841</v>
      </c>
      <c r="D208" t="s">
        <v>105</v>
      </c>
      <c r="E208" t="s">
        <v>45</v>
      </c>
      <c r="F208" t="s">
        <v>79</v>
      </c>
      <c r="G208">
        <v>138</v>
      </c>
      <c r="H208">
        <v>-1</v>
      </c>
      <c r="I208">
        <v>0</v>
      </c>
      <c r="J208">
        <v>40</v>
      </c>
      <c r="K208" t="s">
        <v>18</v>
      </c>
      <c r="L208" s="1">
        <v>45177</v>
      </c>
    </row>
    <row r="209" spans="1:12" x14ac:dyDescent="0.3">
      <c r="A209" t="s">
        <v>842</v>
      </c>
      <c r="B209" t="s">
        <v>1957</v>
      </c>
      <c r="C209" t="s">
        <v>845</v>
      </c>
      <c r="D209" t="s">
        <v>105</v>
      </c>
      <c r="E209" t="s">
        <v>32</v>
      </c>
      <c r="F209" t="s">
        <v>84</v>
      </c>
      <c r="G209">
        <v>368</v>
      </c>
      <c r="H209">
        <v>1</v>
      </c>
      <c r="I209">
        <v>0.1</v>
      </c>
      <c r="J209">
        <v>50</v>
      </c>
      <c r="K209" t="s">
        <v>26</v>
      </c>
      <c r="L209" s="1">
        <v>45148</v>
      </c>
    </row>
    <row r="210" spans="1:12" x14ac:dyDescent="0.3">
      <c r="A210" t="s">
        <v>846</v>
      </c>
      <c r="B210" t="s">
        <v>1958</v>
      </c>
      <c r="C210" t="s">
        <v>849</v>
      </c>
      <c r="D210" t="s">
        <v>105</v>
      </c>
      <c r="E210" t="s">
        <v>16</v>
      </c>
      <c r="F210" t="s">
        <v>89</v>
      </c>
      <c r="G210">
        <v>268</v>
      </c>
      <c r="H210">
        <v>2</v>
      </c>
      <c r="I210">
        <v>0.05</v>
      </c>
      <c r="J210">
        <v>40</v>
      </c>
      <c r="K210" t="s">
        <v>18</v>
      </c>
      <c r="L210" s="1">
        <v>45149</v>
      </c>
    </row>
    <row r="211" spans="1:12" x14ac:dyDescent="0.3">
      <c r="A211" t="s">
        <v>850</v>
      </c>
      <c r="B211" t="s">
        <v>690</v>
      </c>
      <c r="C211" t="s">
        <v>415</v>
      </c>
      <c r="D211" t="s">
        <v>105</v>
      </c>
      <c r="E211" t="s">
        <v>45</v>
      </c>
      <c r="F211" t="s">
        <v>95</v>
      </c>
      <c r="G211">
        <v>168</v>
      </c>
      <c r="H211">
        <v>1</v>
      </c>
      <c r="I211">
        <v>0</v>
      </c>
      <c r="J211">
        <v>35</v>
      </c>
      <c r="K211" t="s">
        <v>26</v>
      </c>
      <c r="L211" s="1">
        <v>45268</v>
      </c>
    </row>
    <row r="212" spans="1:12" x14ac:dyDescent="0.3">
      <c r="A212" t="s">
        <v>852</v>
      </c>
      <c r="B212" t="s">
        <v>854</v>
      </c>
      <c r="C212" t="s">
        <v>855</v>
      </c>
      <c r="D212" t="s">
        <v>105</v>
      </c>
      <c r="E212" t="s">
        <v>32</v>
      </c>
      <c r="F212" t="s">
        <v>100</v>
      </c>
      <c r="G212">
        <v>218</v>
      </c>
      <c r="H212">
        <v>1</v>
      </c>
      <c r="I212">
        <v>0.1</v>
      </c>
      <c r="J212">
        <v>30</v>
      </c>
      <c r="K212" t="s">
        <v>18</v>
      </c>
      <c r="L212" s="1">
        <v>45151</v>
      </c>
    </row>
    <row r="213" spans="1:12" x14ac:dyDescent="0.3">
      <c r="A213" t="s">
        <v>856</v>
      </c>
      <c r="B213" t="s">
        <v>858</v>
      </c>
      <c r="C213" t="s">
        <v>859</v>
      </c>
      <c r="D213" t="s">
        <v>105</v>
      </c>
      <c r="E213" t="s">
        <v>16</v>
      </c>
      <c r="F213" t="s">
        <v>106</v>
      </c>
      <c r="G213">
        <v>218</v>
      </c>
      <c r="H213">
        <v>1</v>
      </c>
      <c r="I213">
        <v>0</v>
      </c>
      <c r="J213">
        <v>50</v>
      </c>
      <c r="K213" t="s">
        <v>26</v>
      </c>
      <c r="L213" s="1">
        <v>45152</v>
      </c>
    </row>
    <row r="214" spans="1:12" x14ac:dyDescent="0.3">
      <c r="A214" t="s">
        <v>860</v>
      </c>
      <c r="B214" t="s">
        <v>546</v>
      </c>
      <c r="C214" t="s">
        <v>862</v>
      </c>
      <c r="D214" t="s">
        <v>105</v>
      </c>
      <c r="E214" t="s">
        <v>45</v>
      </c>
      <c r="F214" t="s">
        <v>112</v>
      </c>
      <c r="G214">
        <v>70</v>
      </c>
      <c r="H214">
        <v>2</v>
      </c>
      <c r="I214">
        <v>0.1</v>
      </c>
      <c r="J214">
        <v>16</v>
      </c>
      <c r="K214" t="s">
        <v>18</v>
      </c>
      <c r="L214" s="1">
        <v>45153</v>
      </c>
    </row>
    <row r="215" spans="1:12" x14ac:dyDescent="0.3">
      <c r="A215" t="s">
        <v>863</v>
      </c>
      <c r="B215" t="s">
        <v>865</v>
      </c>
      <c r="C215" t="s">
        <v>2004</v>
      </c>
      <c r="D215" t="s">
        <v>105</v>
      </c>
      <c r="E215" t="s">
        <v>32</v>
      </c>
      <c r="F215" t="s">
        <v>117</v>
      </c>
      <c r="G215">
        <v>1100</v>
      </c>
      <c r="H215">
        <v>1</v>
      </c>
      <c r="I215">
        <v>0.2</v>
      </c>
      <c r="J215">
        <v>168</v>
      </c>
      <c r="K215" t="s">
        <v>26</v>
      </c>
      <c r="L215" s="1">
        <v>45154</v>
      </c>
    </row>
    <row r="216" spans="1:12" x14ac:dyDescent="0.3">
      <c r="A216" t="s">
        <v>866</v>
      </c>
      <c r="B216" t="s">
        <v>868</v>
      </c>
      <c r="C216" t="s">
        <v>869</v>
      </c>
      <c r="D216" t="s">
        <v>105</v>
      </c>
      <c r="E216" t="s">
        <v>16</v>
      </c>
      <c r="F216" t="s">
        <v>123</v>
      </c>
      <c r="G216">
        <v>700</v>
      </c>
      <c r="H216">
        <v>1</v>
      </c>
      <c r="I216">
        <v>0</v>
      </c>
      <c r="J216">
        <v>98</v>
      </c>
      <c r="K216" t="s">
        <v>18</v>
      </c>
      <c r="L216" s="1">
        <v>45155</v>
      </c>
    </row>
    <row r="217" spans="1:12" x14ac:dyDescent="0.3">
      <c r="A217" t="s">
        <v>870</v>
      </c>
      <c r="B217" t="s">
        <v>872</v>
      </c>
      <c r="C217" t="s">
        <v>873</v>
      </c>
      <c r="D217" t="s">
        <v>105</v>
      </c>
      <c r="E217" t="s">
        <v>45</v>
      </c>
      <c r="F217" t="s">
        <v>129</v>
      </c>
      <c r="G217">
        <v>40</v>
      </c>
      <c r="H217">
        <v>3</v>
      </c>
      <c r="I217">
        <v>0</v>
      </c>
      <c r="J217">
        <v>10</v>
      </c>
      <c r="K217" t="s">
        <v>26</v>
      </c>
      <c r="L217" s="1">
        <v>45156</v>
      </c>
    </row>
    <row r="218" spans="1:12" x14ac:dyDescent="0.3">
      <c r="A218" t="s">
        <v>874</v>
      </c>
      <c r="B218" t="s">
        <v>876</v>
      </c>
      <c r="C218" t="s">
        <v>877</v>
      </c>
      <c r="D218" t="s">
        <v>105</v>
      </c>
      <c r="E218" t="s">
        <v>32</v>
      </c>
      <c r="F218" t="s">
        <v>135</v>
      </c>
      <c r="G218">
        <v>-400</v>
      </c>
      <c r="H218">
        <v>1</v>
      </c>
      <c r="I218">
        <v>0</v>
      </c>
      <c r="J218">
        <v>-30</v>
      </c>
      <c r="K218" t="s">
        <v>18</v>
      </c>
      <c r="L218" s="1">
        <v>45157</v>
      </c>
    </row>
    <row r="219" spans="1:12" x14ac:dyDescent="0.3">
      <c r="A219" t="s">
        <v>878</v>
      </c>
      <c r="B219" t="s">
        <v>880</v>
      </c>
      <c r="C219" t="s">
        <v>881</v>
      </c>
      <c r="D219" t="s">
        <v>105</v>
      </c>
      <c r="E219" t="s">
        <v>16</v>
      </c>
      <c r="F219" t="s">
        <v>141</v>
      </c>
      <c r="G219">
        <v>90</v>
      </c>
      <c r="H219">
        <v>2</v>
      </c>
      <c r="I219">
        <v>0.1</v>
      </c>
      <c r="J219">
        <v>23</v>
      </c>
      <c r="K219" t="s">
        <v>26</v>
      </c>
      <c r="L219" s="1">
        <v>45158</v>
      </c>
    </row>
    <row r="220" spans="1:12" x14ac:dyDescent="0.3">
      <c r="A220" t="s">
        <v>882</v>
      </c>
      <c r="B220" t="s">
        <v>884</v>
      </c>
      <c r="C220" t="s">
        <v>885</v>
      </c>
      <c r="D220" t="s">
        <v>105</v>
      </c>
      <c r="E220" t="s">
        <v>45</v>
      </c>
      <c r="F220" t="s">
        <v>146</v>
      </c>
      <c r="G220">
        <v>23</v>
      </c>
      <c r="H220">
        <v>5</v>
      </c>
      <c r="I220">
        <v>0</v>
      </c>
      <c r="J220">
        <v>10</v>
      </c>
      <c r="K220" t="s">
        <v>18</v>
      </c>
      <c r="L220" s="1">
        <v>45159</v>
      </c>
    </row>
    <row r="221" spans="1:12" x14ac:dyDescent="0.3">
      <c r="A221" t="s">
        <v>886</v>
      </c>
      <c r="B221" t="s">
        <v>888</v>
      </c>
      <c r="C221" t="s">
        <v>889</v>
      </c>
      <c r="D221" t="s">
        <v>105</v>
      </c>
      <c r="E221" t="s">
        <v>32</v>
      </c>
      <c r="F221" t="s">
        <v>152</v>
      </c>
      <c r="G221">
        <v>50</v>
      </c>
      <c r="H221">
        <v>4</v>
      </c>
      <c r="I221">
        <v>0</v>
      </c>
      <c r="J221">
        <v>16</v>
      </c>
      <c r="K221" t="s">
        <v>26</v>
      </c>
      <c r="L221" s="1">
        <v>45160</v>
      </c>
    </row>
    <row r="222" spans="1:12" x14ac:dyDescent="0.3">
      <c r="A222" t="s">
        <v>890</v>
      </c>
      <c r="B222" t="s">
        <v>892</v>
      </c>
      <c r="C222" t="s">
        <v>893</v>
      </c>
      <c r="D222" t="s">
        <v>105</v>
      </c>
      <c r="E222" t="s">
        <v>16</v>
      </c>
      <c r="F222" t="s">
        <v>158</v>
      </c>
      <c r="G222">
        <v>60</v>
      </c>
      <c r="H222">
        <v>2</v>
      </c>
      <c r="I222">
        <v>0</v>
      </c>
      <c r="J222">
        <v>16</v>
      </c>
      <c r="K222" t="s">
        <v>18</v>
      </c>
      <c r="L222" s="1">
        <v>45161</v>
      </c>
    </row>
    <row r="223" spans="1:12" x14ac:dyDescent="0.3">
      <c r="A223" t="s">
        <v>894</v>
      </c>
      <c r="B223" t="s">
        <v>896</v>
      </c>
      <c r="C223" t="s">
        <v>2004</v>
      </c>
      <c r="D223" t="s">
        <v>105</v>
      </c>
      <c r="E223" t="s">
        <v>45</v>
      </c>
      <c r="F223" t="s">
        <v>163</v>
      </c>
      <c r="G223">
        <v>30</v>
      </c>
      <c r="H223">
        <v>1</v>
      </c>
      <c r="I223">
        <v>0</v>
      </c>
      <c r="J223">
        <v>10</v>
      </c>
      <c r="K223" t="s">
        <v>26</v>
      </c>
      <c r="L223" s="1">
        <v>45162</v>
      </c>
    </row>
    <row r="224" spans="1:12" x14ac:dyDescent="0.3">
      <c r="A224" t="s">
        <v>897</v>
      </c>
      <c r="B224" t="s">
        <v>1959</v>
      </c>
      <c r="C224" t="s">
        <v>900</v>
      </c>
      <c r="D224" t="s">
        <v>105</v>
      </c>
      <c r="E224" t="s">
        <v>32</v>
      </c>
      <c r="F224" t="s">
        <v>168</v>
      </c>
      <c r="G224">
        <v>70</v>
      </c>
      <c r="H224">
        <v>2</v>
      </c>
      <c r="I224">
        <v>0.1</v>
      </c>
      <c r="J224">
        <v>16</v>
      </c>
      <c r="K224" t="s">
        <v>18</v>
      </c>
      <c r="L224" s="1">
        <v>45163</v>
      </c>
    </row>
    <row r="225" spans="1:12" x14ac:dyDescent="0.3">
      <c r="A225" t="s">
        <v>901</v>
      </c>
      <c r="B225" t="s">
        <v>903</v>
      </c>
      <c r="C225" t="s">
        <v>904</v>
      </c>
      <c r="D225" t="s">
        <v>105</v>
      </c>
      <c r="E225" t="s">
        <v>16</v>
      </c>
      <c r="F225" t="s">
        <v>174</v>
      </c>
      <c r="G225">
        <v>35</v>
      </c>
      <c r="H225">
        <v>3</v>
      </c>
      <c r="I225">
        <v>0</v>
      </c>
      <c r="J225">
        <v>10</v>
      </c>
      <c r="K225" t="s">
        <v>26</v>
      </c>
      <c r="L225" s="1">
        <v>45164</v>
      </c>
    </row>
    <row r="226" spans="1:12" x14ac:dyDescent="0.3">
      <c r="A226" t="s">
        <v>905</v>
      </c>
      <c r="B226" t="s">
        <v>1960</v>
      </c>
      <c r="C226" t="s">
        <v>110</v>
      </c>
      <c r="D226" t="s">
        <v>111</v>
      </c>
      <c r="E226" t="s">
        <v>16</v>
      </c>
      <c r="F226" t="s">
        <v>17</v>
      </c>
      <c r="G226">
        <v>1240</v>
      </c>
      <c r="H226">
        <v>1</v>
      </c>
      <c r="I226">
        <v>0.1</v>
      </c>
      <c r="J226">
        <v>160</v>
      </c>
      <c r="K226" t="s">
        <v>18</v>
      </c>
      <c r="L226" s="1">
        <v>45165</v>
      </c>
    </row>
    <row r="227" spans="1:12" x14ac:dyDescent="0.3">
      <c r="A227" t="s">
        <v>908</v>
      </c>
      <c r="B227" t="s">
        <v>1961</v>
      </c>
      <c r="C227" t="s">
        <v>911</v>
      </c>
      <c r="D227" t="s">
        <v>111</v>
      </c>
      <c r="E227" t="s">
        <v>45</v>
      </c>
      <c r="F227" t="s">
        <v>25</v>
      </c>
      <c r="G227">
        <v>30</v>
      </c>
      <c r="H227">
        <v>2</v>
      </c>
      <c r="I227">
        <v>0</v>
      </c>
      <c r="J227">
        <v>15</v>
      </c>
      <c r="K227" t="s">
        <v>26</v>
      </c>
      <c r="L227" s="1">
        <v>45166</v>
      </c>
    </row>
    <row r="228" spans="1:12" x14ac:dyDescent="0.3">
      <c r="A228" t="s">
        <v>912</v>
      </c>
      <c r="B228" t="s">
        <v>914</v>
      </c>
      <c r="C228" t="s">
        <v>2004</v>
      </c>
      <c r="D228" t="s">
        <v>111</v>
      </c>
      <c r="E228" t="s">
        <v>32</v>
      </c>
      <c r="F228" t="s">
        <v>33</v>
      </c>
      <c r="G228">
        <v>-550</v>
      </c>
      <c r="H228">
        <v>1</v>
      </c>
      <c r="I228">
        <v>0</v>
      </c>
      <c r="J228">
        <v>-60</v>
      </c>
      <c r="K228" t="s">
        <v>18</v>
      </c>
      <c r="L228" s="1">
        <v>45167</v>
      </c>
    </row>
    <row r="229" spans="1:12" x14ac:dyDescent="0.3">
      <c r="A229" t="s">
        <v>915</v>
      </c>
      <c r="B229" t="s">
        <v>1962</v>
      </c>
      <c r="C229" t="s">
        <v>918</v>
      </c>
      <c r="D229" t="s">
        <v>111</v>
      </c>
      <c r="E229" t="s">
        <v>16</v>
      </c>
      <c r="F229" t="s">
        <v>39</v>
      </c>
      <c r="G229">
        <v>900</v>
      </c>
      <c r="H229">
        <v>1</v>
      </c>
      <c r="I229">
        <v>0.05</v>
      </c>
      <c r="J229">
        <v>120</v>
      </c>
      <c r="K229" t="s">
        <v>18</v>
      </c>
      <c r="L229" s="1">
        <v>45168</v>
      </c>
    </row>
    <row r="230" spans="1:12" x14ac:dyDescent="0.3">
      <c r="A230" t="s">
        <v>919</v>
      </c>
      <c r="B230" t="s">
        <v>921</v>
      </c>
      <c r="C230" t="s">
        <v>922</v>
      </c>
      <c r="D230" t="s">
        <v>111</v>
      </c>
      <c r="E230" t="s">
        <v>45</v>
      </c>
      <c r="F230" t="s">
        <v>46</v>
      </c>
      <c r="G230">
        <v>62</v>
      </c>
      <c r="H230">
        <v>3</v>
      </c>
      <c r="I230">
        <v>0</v>
      </c>
      <c r="J230">
        <v>25</v>
      </c>
      <c r="K230" t="s">
        <v>26</v>
      </c>
      <c r="L230" s="1">
        <v>45169</v>
      </c>
    </row>
    <row r="231" spans="1:12" x14ac:dyDescent="0.3">
      <c r="A231" t="s">
        <v>923</v>
      </c>
      <c r="B231" t="s">
        <v>925</v>
      </c>
      <c r="C231" t="s">
        <v>926</v>
      </c>
      <c r="D231" t="s">
        <v>111</v>
      </c>
      <c r="E231" t="s">
        <v>32</v>
      </c>
      <c r="F231" t="s">
        <v>53</v>
      </c>
      <c r="G231">
        <v>170</v>
      </c>
      <c r="H231">
        <v>4</v>
      </c>
      <c r="I231">
        <v>0.1</v>
      </c>
      <c r="J231">
        <v>28</v>
      </c>
      <c r="K231" t="s">
        <v>26</v>
      </c>
      <c r="L231" s="1">
        <v>45170</v>
      </c>
    </row>
    <row r="232" spans="1:12" x14ac:dyDescent="0.3">
      <c r="A232" t="s">
        <v>927</v>
      </c>
      <c r="B232" t="s">
        <v>929</v>
      </c>
      <c r="C232" t="s">
        <v>930</v>
      </c>
      <c r="D232" t="s">
        <v>111</v>
      </c>
      <c r="E232" t="s">
        <v>16</v>
      </c>
      <c r="F232" t="s">
        <v>59</v>
      </c>
      <c r="G232">
        <v>320</v>
      </c>
      <c r="H232">
        <v>2</v>
      </c>
      <c r="I232">
        <v>0</v>
      </c>
      <c r="J232">
        <v>52</v>
      </c>
      <c r="K232" t="s">
        <v>18</v>
      </c>
      <c r="L232" s="1">
        <v>44966</v>
      </c>
    </row>
    <row r="233" spans="1:12" x14ac:dyDescent="0.3">
      <c r="A233" t="s">
        <v>931</v>
      </c>
      <c r="B233" t="s">
        <v>933</v>
      </c>
      <c r="C233" t="s">
        <v>2004</v>
      </c>
      <c r="D233" t="s">
        <v>111</v>
      </c>
      <c r="E233" t="s">
        <v>45</v>
      </c>
      <c r="F233" t="s">
        <v>63</v>
      </c>
      <c r="G233">
        <v>90</v>
      </c>
      <c r="H233">
        <v>1</v>
      </c>
      <c r="I233">
        <v>0.2</v>
      </c>
      <c r="J233">
        <v>25</v>
      </c>
      <c r="K233" t="s">
        <v>26</v>
      </c>
      <c r="L233" s="1">
        <v>44994</v>
      </c>
    </row>
    <row r="234" spans="1:12" x14ac:dyDescent="0.3">
      <c r="A234" t="s">
        <v>934</v>
      </c>
      <c r="B234" t="s">
        <v>936</v>
      </c>
      <c r="C234" t="s">
        <v>937</v>
      </c>
      <c r="D234" t="s">
        <v>111</v>
      </c>
      <c r="E234" t="s">
        <v>32</v>
      </c>
      <c r="F234" t="s">
        <v>68</v>
      </c>
      <c r="G234">
        <v>1000</v>
      </c>
      <c r="H234">
        <v>1</v>
      </c>
      <c r="I234">
        <v>0.15</v>
      </c>
      <c r="J234">
        <v>120</v>
      </c>
      <c r="K234" t="s">
        <v>18</v>
      </c>
      <c r="L234" s="1">
        <v>45173</v>
      </c>
    </row>
    <row r="235" spans="1:12" hidden="1" x14ac:dyDescent="0.3">
      <c r="A235" t="s">
        <v>938</v>
      </c>
      <c r="B235" t="s">
        <v>940</v>
      </c>
      <c r="C235" t="s">
        <v>941</v>
      </c>
      <c r="D235" t="s">
        <v>111</v>
      </c>
      <c r="E235" t="s">
        <v>16</v>
      </c>
      <c r="F235" t="s">
        <v>73</v>
      </c>
      <c r="G235">
        <v>120</v>
      </c>
      <c r="H235">
        <v>0</v>
      </c>
      <c r="I235">
        <v>0</v>
      </c>
      <c r="J235">
        <v>32</v>
      </c>
      <c r="K235" t="s">
        <v>26</v>
      </c>
      <c r="L235" s="1">
        <v>45055</v>
      </c>
    </row>
    <row r="236" spans="1:12" hidden="1" x14ac:dyDescent="0.3">
      <c r="A236" t="s">
        <v>942</v>
      </c>
      <c r="B236" t="s">
        <v>575</v>
      </c>
      <c r="C236" t="s">
        <v>944</v>
      </c>
      <c r="D236" t="s">
        <v>111</v>
      </c>
      <c r="E236" t="s">
        <v>45</v>
      </c>
      <c r="F236" t="s">
        <v>79</v>
      </c>
      <c r="G236">
        <v>140</v>
      </c>
      <c r="H236">
        <v>-1</v>
      </c>
      <c r="I236">
        <v>0</v>
      </c>
      <c r="J236">
        <v>42</v>
      </c>
      <c r="K236" t="s">
        <v>18</v>
      </c>
      <c r="L236" s="1">
        <v>45086</v>
      </c>
    </row>
    <row r="237" spans="1:12" x14ac:dyDescent="0.3">
      <c r="A237" t="s">
        <v>945</v>
      </c>
      <c r="B237" t="s">
        <v>947</v>
      </c>
      <c r="C237" t="s">
        <v>948</v>
      </c>
      <c r="D237" t="s">
        <v>111</v>
      </c>
      <c r="E237" t="s">
        <v>32</v>
      </c>
      <c r="F237" t="s">
        <v>84</v>
      </c>
      <c r="G237">
        <v>370</v>
      </c>
      <c r="H237">
        <v>1</v>
      </c>
      <c r="I237">
        <v>0.1</v>
      </c>
      <c r="J237">
        <v>52</v>
      </c>
      <c r="K237" t="s">
        <v>26</v>
      </c>
      <c r="L237" s="1">
        <v>45176</v>
      </c>
    </row>
    <row r="238" spans="1:12" x14ac:dyDescent="0.3">
      <c r="A238" t="s">
        <v>949</v>
      </c>
      <c r="B238" t="s">
        <v>951</v>
      </c>
      <c r="C238" t="s">
        <v>952</v>
      </c>
      <c r="D238" t="s">
        <v>111</v>
      </c>
      <c r="E238" t="s">
        <v>16</v>
      </c>
      <c r="F238" t="s">
        <v>89</v>
      </c>
      <c r="G238">
        <v>270</v>
      </c>
      <c r="H238">
        <v>2</v>
      </c>
      <c r="I238">
        <v>0.05</v>
      </c>
      <c r="J238">
        <v>42</v>
      </c>
      <c r="K238" t="s">
        <v>18</v>
      </c>
      <c r="L238" s="1">
        <v>45177</v>
      </c>
    </row>
    <row r="239" spans="1:12" x14ac:dyDescent="0.3">
      <c r="A239" t="s">
        <v>953</v>
      </c>
      <c r="B239" t="s">
        <v>955</v>
      </c>
      <c r="C239" t="s">
        <v>956</v>
      </c>
      <c r="D239" t="s">
        <v>111</v>
      </c>
      <c r="E239" t="s">
        <v>45</v>
      </c>
      <c r="F239" t="s">
        <v>95</v>
      </c>
      <c r="G239">
        <v>170</v>
      </c>
      <c r="H239">
        <v>1</v>
      </c>
      <c r="I239">
        <v>0</v>
      </c>
      <c r="J239">
        <v>37</v>
      </c>
      <c r="K239" t="s">
        <v>26</v>
      </c>
      <c r="L239" s="1">
        <v>45178</v>
      </c>
    </row>
    <row r="240" spans="1:12" x14ac:dyDescent="0.3">
      <c r="A240" t="s">
        <v>957</v>
      </c>
      <c r="B240" t="s">
        <v>959</v>
      </c>
      <c r="C240" t="s">
        <v>960</v>
      </c>
      <c r="D240" t="s">
        <v>111</v>
      </c>
      <c r="E240" t="s">
        <v>32</v>
      </c>
      <c r="F240" t="s">
        <v>100</v>
      </c>
      <c r="G240">
        <v>220</v>
      </c>
      <c r="H240">
        <v>1</v>
      </c>
      <c r="I240">
        <v>0.1</v>
      </c>
      <c r="J240">
        <v>32</v>
      </c>
      <c r="K240" t="s">
        <v>18</v>
      </c>
      <c r="L240" s="1">
        <v>45208</v>
      </c>
    </row>
    <row r="241" spans="1:12" x14ac:dyDescent="0.3">
      <c r="A241" t="s">
        <v>961</v>
      </c>
      <c r="B241" t="s">
        <v>963</v>
      </c>
      <c r="C241" t="s">
        <v>93</v>
      </c>
      <c r="D241" t="s">
        <v>111</v>
      </c>
      <c r="E241" t="s">
        <v>16</v>
      </c>
      <c r="F241" t="s">
        <v>106</v>
      </c>
      <c r="G241">
        <v>220</v>
      </c>
      <c r="H241">
        <v>1</v>
      </c>
      <c r="I241">
        <v>0</v>
      </c>
      <c r="J241">
        <v>52</v>
      </c>
      <c r="K241" t="s">
        <v>26</v>
      </c>
      <c r="L241" s="1">
        <v>45180</v>
      </c>
    </row>
    <row r="242" spans="1:12" x14ac:dyDescent="0.3">
      <c r="A242" t="s">
        <v>964</v>
      </c>
      <c r="B242" t="s">
        <v>966</v>
      </c>
      <c r="C242" t="s">
        <v>967</v>
      </c>
      <c r="D242" t="s">
        <v>111</v>
      </c>
      <c r="E242" t="s">
        <v>45</v>
      </c>
      <c r="F242" t="s">
        <v>112</v>
      </c>
      <c r="G242">
        <v>72</v>
      </c>
      <c r="H242">
        <v>2</v>
      </c>
      <c r="I242">
        <v>0.1</v>
      </c>
      <c r="J242">
        <v>17</v>
      </c>
      <c r="K242" t="s">
        <v>18</v>
      </c>
      <c r="L242" s="1">
        <v>45269</v>
      </c>
    </row>
    <row r="243" spans="1:12" x14ac:dyDescent="0.3">
      <c r="A243" t="s">
        <v>968</v>
      </c>
      <c r="B243" t="s">
        <v>970</v>
      </c>
      <c r="C243" t="s">
        <v>2004</v>
      </c>
      <c r="D243" t="s">
        <v>111</v>
      </c>
      <c r="E243" t="s">
        <v>32</v>
      </c>
      <c r="F243" t="s">
        <v>117</v>
      </c>
      <c r="G243">
        <v>1120</v>
      </c>
      <c r="H243">
        <v>1</v>
      </c>
      <c r="I243">
        <v>0.2</v>
      </c>
      <c r="J243">
        <v>170</v>
      </c>
      <c r="K243" t="s">
        <v>26</v>
      </c>
      <c r="L243" s="1">
        <v>45182</v>
      </c>
    </row>
    <row r="244" spans="1:12" x14ac:dyDescent="0.3">
      <c r="A244" t="s">
        <v>971</v>
      </c>
      <c r="B244" t="s">
        <v>1963</v>
      </c>
      <c r="C244" t="s">
        <v>974</v>
      </c>
      <c r="D244" t="s">
        <v>111</v>
      </c>
      <c r="E244" t="s">
        <v>16</v>
      </c>
      <c r="F244" t="s">
        <v>123</v>
      </c>
      <c r="G244">
        <v>720</v>
      </c>
      <c r="H244">
        <v>1</v>
      </c>
      <c r="I244">
        <v>0</v>
      </c>
      <c r="J244">
        <v>100</v>
      </c>
      <c r="K244" t="s">
        <v>18</v>
      </c>
      <c r="L244" s="1">
        <v>45183</v>
      </c>
    </row>
    <row r="245" spans="1:12" x14ac:dyDescent="0.3">
      <c r="A245" t="s">
        <v>975</v>
      </c>
      <c r="B245" t="s">
        <v>977</v>
      </c>
      <c r="C245" t="s">
        <v>978</v>
      </c>
      <c r="D245" t="s">
        <v>111</v>
      </c>
      <c r="E245" t="s">
        <v>45</v>
      </c>
      <c r="F245" t="s">
        <v>129</v>
      </c>
      <c r="G245">
        <v>42</v>
      </c>
      <c r="H245">
        <v>3</v>
      </c>
      <c r="I245">
        <v>0</v>
      </c>
      <c r="J245">
        <v>11</v>
      </c>
      <c r="K245" t="s">
        <v>26</v>
      </c>
      <c r="L245" s="1">
        <v>45184</v>
      </c>
    </row>
    <row r="246" spans="1:12" x14ac:dyDescent="0.3">
      <c r="A246" t="s">
        <v>979</v>
      </c>
      <c r="B246" t="s">
        <v>981</v>
      </c>
      <c r="C246" t="s">
        <v>982</v>
      </c>
      <c r="D246" t="s">
        <v>111</v>
      </c>
      <c r="E246" t="s">
        <v>32</v>
      </c>
      <c r="F246" t="s">
        <v>135</v>
      </c>
      <c r="G246">
        <v>-420</v>
      </c>
      <c r="H246">
        <v>1</v>
      </c>
      <c r="I246">
        <v>0</v>
      </c>
      <c r="J246">
        <v>-32</v>
      </c>
      <c r="K246" t="s">
        <v>18</v>
      </c>
      <c r="L246" s="1">
        <v>45185</v>
      </c>
    </row>
    <row r="247" spans="1:12" x14ac:dyDescent="0.3">
      <c r="A247" t="s">
        <v>983</v>
      </c>
      <c r="B247" t="s">
        <v>985</v>
      </c>
      <c r="C247" t="s">
        <v>986</v>
      </c>
      <c r="D247" t="s">
        <v>111</v>
      </c>
      <c r="E247" t="s">
        <v>16</v>
      </c>
      <c r="F247" t="s">
        <v>141</v>
      </c>
      <c r="G247">
        <v>92</v>
      </c>
      <c r="H247">
        <v>2</v>
      </c>
      <c r="I247">
        <v>0.1</v>
      </c>
      <c r="J247">
        <v>25</v>
      </c>
      <c r="K247" t="s">
        <v>26</v>
      </c>
      <c r="L247" s="1">
        <v>45186</v>
      </c>
    </row>
    <row r="248" spans="1:12" x14ac:dyDescent="0.3">
      <c r="A248" t="s">
        <v>987</v>
      </c>
      <c r="B248" t="s">
        <v>1964</v>
      </c>
      <c r="C248" t="s">
        <v>990</v>
      </c>
      <c r="D248" t="s">
        <v>111</v>
      </c>
      <c r="E248" t="s">
        <v>45</v>
      </c>
      <c r="F248" t="s">
        <v>146</v>
      </c>
      <c r="G248">
        <v>25</v>
      </c>
      <c r="H248">
        <v>5</v>
      </c>
      <c r="I248">
        <v>0</v>
      </c>
      <c r="J248">
        <v>11</v>
      </c>
      <c r="K248" t="s">
        <v>18</v>
      </c>
      <c r="L248" s="1">
        <v>45187</v>
      </c>
    </row>
    <row r="249" spans="1:12" x14ac:dyDescent="0.3">
      <c r="A249" t="s">
        <v>991</v>
      </c>
      <c r="B249" t="s">
        <v>993</v>
      </c>
      <c r="C249" t="s">
        <v>994</v>
      </c>
      <c r="D249" t="s">
        <v>111</v>
      </c>
      <c r="E249" t="s">
        <v>32</v>
      </c>
      <c r="F249" t="s">
        <v>152</v>
      </c>
      <c r="G249">
        <v>52</v>
      </c>
      <c r="H249">
        <v>4</v>
      </c>
      <c r="I249">
        <v>0</v>
      </c>
      <c r="J249">
        <v>17</v>
      </c>
      <c r="K249" t="s">
        <v>26</v>
      </c>
      <c r="L249" s="1">
        <v>45188</v>
      </c>
    </row>
    <row r="250" spans="1:12" x14ac:dyDescent="0.3">
      <c r="A250" t="s">
        <v>995</v>
      </c>
      <c r="B250" t="s">
        <v>997</v>
      </c>
      <c r="C250" t="s">
        <v>998</v>
      </c>
      <c r="D250" t="s">
        <v>111</v>
      </c>
      <c r="E250" t="s">
        <v>16</v>
      </c>
      <c r="F250" t="s">
        <v>158</v>
      </c>
      <c r="G250">
        <v>62</v>
      </c>
      <c r="H250">
        <v>2</v>
      </c>
      <c r="I250">
        <v>0</v>
      </c>
      <c r="J250">
        <v>17</v>
      </c>
      <c r="K250" t="s">
        <v>18</v>
      </c>
      <c r="L250" s="1">
        <v>45189</v>
      </c>
    </row>
    <row r="251" spans="1:12" x14ac:dyDescent="0.3">
      <c r="A251" t="s">
        <v>999</v>
      </c>
      <c r="B251" t="s">
        <v>1001</v>
      </c>
      <c r="C251" t="s">
        <v>2004</v>
      </c>
      <c r="D251" t="s">
        <v>111</v>
      </c>
      <c r="E251" t="s">
        <v>45</v>
      </c>
      <c r="F251" t="s">
        <v>163</v>
      </c>
      <c r="G251">
        <v>32</v>
      </c>
      <c r="H251">
        <v>1</v>
      </c>
      <c r="I251">
        <v>0</v>
      </c>
      <c r="J251">
        <v>11</v>
      </c>
      <c r="K251" t="s">
        <v>26</v>
      </c>
      <c r="L251" s="1">
        <v>45190</v>
      </c>
    </row>
    <row r="252" spans="1:12" x14ac:dyDescent="0.3">
      <c r="A252" t="s">
        <v>1002</v>
      </c>
      <c r="B252" t="s">
        <v>1004</v>
      </c>
      <c r="C252" t="s">
        <v>1005</v>
      </c>
      <c r="D252" t="s">
        <v>111</v>
      </c>
      <c r="E252" t="s">
        <v>32</v>
      </c>
      <c r="F252" t="s">
        <v>168</v>
      </c>
      <c r="G252">
        <v>72</v>
      </c>
      <c r="H252">
        <v>2</v>
      </c>
      <c r="I252">
        <v>0.1</v>
      </c>
      <c r="J252">
        <v>17</v>
      </c>
      <c r="K252" t="s">
        <v>18</v>
      </c>
      <c r="L252" s="1">
        <v>45191</v>
      </c>
    </row>
    <row r="253" spans="1:12" x14ac:dyDescent="0.3">
      <c r="A253" t="s">
        <v>1006</v>
      </c>
      <c r="B253" t="s">
        <v>1008</v>
      </c>
      <c r="C253" t="s">
        <v>1009</v>
      </c>
      <c r="D253" t="s">
        <v>111</v>
      </c>
      <c r="E253" t="s">
        <v>16</v>
      </c>
      <c r="F253" t="s">
        <v>174</v>
      </c>
      <c r="G253">
        <v>37</v>
      </c>
      <c r="H253">
        <v>3</v>
      </c>
      <c r="I253">
        <v>0</v>
      </c>
      <c r="J253">
        <v>11</v>
      </c>
      <c r="K253" t="s">
        <v>26</v>
      </c>
      <c r="L253" s="1">
        <v>45192</v>
      </c>
    </row>
    <row r="254" spans="1:12" x14ac:dyDescent="0.3">
      <c r="A254" t="s">
        <v>1010</v>
      </c>
      <c r="B254" t="s">
        <v>1965</v>
      </c>
      <c r="C254" t="s">
        <v>121</v>
      </c>
      <c r="D254" t="s">
        <v>122</v>
      </c>
      <c r="E254" t="s">
        <v>16</v>
      </c>
      <c r="F254" t="s">
        <v>17</v>
      </c>
      <c r="G254">
        <v>1250</v>
      </c>
      <c r="H254">
        <v>1</v>
      </c>
      <c r="I254">
        <v>0.1</v>
      </c>
      <c r="J254">
        <v>162</v>
      </c>
      <c r="K254" t="s">
        <v>18</v>
      </c>
      <c r="L254" s="1">
        <v>45193</v>
      </c>
    </row>
    <row r="255" spans="1:12" x14ac:dyDescent="0.3">
      <c r="A255" t="s">
        <v>1013</v>
      </c>
      <c r="B255" t="s">
        <v>1966</v>
      </c>
      <c r="C255" t="s">
        <v>1016</v>
      </c>
      <c r="D255" t="s">
        <v>122</v>
      </c>
      <c r="E255" t="s">
        <v>45</v>
      </c>
      <c r="F255" t="s">
        <v>25</v>
      </c>
      <c r="G255">
        <v>31</v>
      </c>
      <c r="H255">
        <v>2</v>
      </c>
      <c r="I255">
        <v>0</v>
      </c>
      <c r="J255">
        <v>16</v>
      </c>
      <c r="K255" t="s">
        <v>26</v>
      </c>
      <c r="L255" s="1">
        <v>45194</v>
      </c>
    </row>
    <row r="256" spans="1:12" x14ac:dyDescent="0.3">
      <c r="A256" t="s">
        <v>1017</v>
      </c>
      <c r="B256" t="s">
        <v>1019</v>
      </c>
      <c r="C256" t="s">
        <v>2004</v>
      </c>
      <c r="D256" t="s">
        <v>122</v>
      </c>
      <c r="E256" t="s">
        <v>32</v>
      </c>
      <c r="F256" t="s">
        <v>33</v>
      </c>
      <c r="G256">
        <v>-560</v>
      </c>
      <c r="H256">
        <v>1</v>
      </c>
      <c r="I256">
        <v>0</v>
      </c>
      <c r="J256">
        <v>-62</v>
      </c>
      <c r="K256" t="s">
        <v>18</v>
      </c>
      <c r="L256" s="1">
        <v>45195</v>
      </c>
    </row>
    <row r="257" spans="1:12" x14ac:dyDescent="0.3">
      <c r="A257" t="s">
        <v>1020</v>
      </c>
      <c r="B257" t="s">
        <v>985</v>
      </c>
      <c r="C257" t="s">
        <v>1023</v>
      </c>
      <c r="D257" t="s">
        <v>122</v>
      </c>
      <c r="E257" t="s">
        <v>16</v>
      </c>
      <c r="F257" t="s">
        <v>39</v>
      </c>
      <c r="G257">
        <v>920</v>
      </c>
      <c r="H257">
        <v>1</v>
      </c>
      <c r="I257">
        <v>0.05</v>
      </c>
      <c r="J257">
        <v>122</v>
      </c>
      <c r="K257" t="s">
        <v>18</v>
      </c>
      <c r="L257" s="1">
        <v>45196</v>
      </c>
    </row>
    <row r="258" spans="1:12" x14ac:dyDescent="0.3">
      <c r="A258" t="s">
        <v>1024</v>
      </c>
      <c r="B258" t="s">
        <v>1026</v>
      </c>
      <c r="C258" t="s">
        <v>1027</v>
      </c>
      <c r="D258" t="s">
        <v>122</v>
      </c>
      <c r="E258" t="s">
        <v>45</v>
      </c>
      <c r="F258" t="s">
        <v>46</v>
      </c>
      <c r="G258">
        <v>64</v>
      </c>
      <c r="H258">
        <v>3</v>
      </c>
      <c r="I258">
        <v>0</v>
      </c>
      <c r="J258">
        <v>27</v>
      </c>
      <c r="K258" t="s">
        <v>26</v>
      </c>
      <c r="L258" s="1">
        <v>45197</v>
      </c>
    </row>
    <row r="259" spans="1:12" x14ac:dyDescent="0.3">
      <c r="A259" t="s">
        <v>1028</v>
      </c>
      <c r="B259" t="s">
        <v>1030</v>
      </c>
      <c r="C259" t="s">
        <v>1031</v>
      </c>
      <c r="D259" t="s">
        <v>122</v>
      </c>
      <c r="E259" t="s">
        <v>32</v>
      </c>
      <c r="F259" t="s">
        <v>53</v>
      </c>
      <c r="G259">
        <v>172</v>
      </c>
      <c r="H259">
        <v>4</v>
      </c>
      <c r="I259">
        <v>0.1</v>
      </c>
      <c r="J259">
        <v>30</v>
      </c>
      <c r="K259" t="s">
        <v>26</v>
      </c>
      <c r="L259" s="1">
        <v>45198</v>
      </c>
    </row>
    <row r="260" spans="1:12" x14ac:dyDescent="0.3">
      <c r="A260" t="s">
        <v>1032</v>
      </c>
      <c r="B260" t="s">
        <v>1034</v>
      </c>
      <c r="C260" t="s">
        <v>1035</v>
      </c>
      <c r="D260" t="s">
        <v>122</v>
      </c>
      <c r="E260" t="s">
        <v>16</v>
      </c>
      <c r="F260" t="s">
        <v>59</v>
      </c>
      <c r="G260">
        <v>322</v>
      </c>
      <c r="H260">
        <v>2</v>
      </c>
      <c r="I260">
        <v>0</v>
      </c>
      <c r="J260">
        <v>54</v>
      </c>
      <c r="K260" t="s">
        <v>18</v>
      </c>
      <c r="L260" s="1">
        <v>45199</v>
      </c>
    </row>
    <row r="261" spans="1:12" x14ac:dyDescent="0.3">
      <c r="A261" t="s">
        <v>1036</v>
      </c>
      <c r="B261" t="s">
        <v>1038</v>
      </c>
      <c r="C261" t="s">
        <v>2004</v>
      </c>
      <c r="D261" t="s">
        <v>122</v>
      </c>
      <c r="E261" t="s">
        <v>45</v>
      </c>
      <c r="F261" t="s">
        <v>63</v>
      </c>
      <c r="G261">
        <v>92</v>
      </c>
      <c r="H261">
        <v>1</v>
      </c>
      <c r="I261">
        <v>0.2</v>
      </c>
      <c r="J261">
        <v>27</v>
      </c>
      <c r="K261" t="s">
        <v>26</v>
      </c>
      <c r="L261" s="1">
        <v>44936</v>
      </c>
    </row>
    <row r="262" spans="1:12" x14ac:dyDescent="0.3">
      <c r="A262" t="s">
        <v>1039</v>
      </c>
      <c r="B262" t="s">
        <v>1041</v>
      </c>
      <c r="C262" t="s">
        <v>1042</v>
      </c>
      <c r="D262" t="s">
        <v>122</v>
      </c>
      <c r="E262" t="s">
        <v>32</v>
      </c>
      <c r="F262" t="s">
        <v>68</v>
      </c>
      <c r="G262">
        <v>1020</v>
      </c>
      <c r="H262">
        <v>1</v>
      </c>
      <c r="I262">
        <v>0.15</v>
      </c>
      <c r="J262">
        <v>122</v>
      </c>
      <c r="K262" t="s">
        <v>18</v>
      </c>
      <c r="L262" s="1">
        <v>45201</v>
      </c>
    </row>
    <row r="263" spans="1:12" hidden="1" x14ac:dyDescent="0.3">
      <c r="A263" t="s">
        <v>1043</v>
      </c>
      <c r="B263" t="s">
        <v>1967</v>
      </c>
      <c r="C263" t="s">
        <v>1046</v>
      </c>
      <c r="D263" t="s">
        <v>122</v>
      </c>
      <c r="E263" t="s">
        <v>16</v>
      </c>
      <c r="F263" t="s">
        <v>73</v>
      </c>
      <c r="G263">
        <v>122</v>
      </c>
      <c r="H263">
        <v>0</v>
      </c>
      <c r="I263">
        <v>0</v>
      </c>
      <c r="J263">
        <v>34</v>
      </c>
      <c r="K263" t="s">
        <v>26</v>
      </c>
      <c r="L263" s="1">
        <v>44995</v>
      </c>
    </row>
    <row r="264" spans="1:12" hidden="1" x14ac:dyDescent="0.3">
      <c r="A264" t="s">
        <v>1047</v>
      </c>
      <c r="B264" t="s">
        <v>1049</v>
      </c>
      <c r="C264" t="s">
        <v>1050</v>
      </c>
      <c r="D264" t="s">
        <v>122</v>
      </c>
      <c r="E264" t="s">
        <v>45</v>
      </c>
      <c r="F264" t="s">
        <v>79</v>
      </c>
      <c r="G264">
        <v>142</v>
      </c>
      <c r="H264">
        <v>-1</v>
      </c>
      <c r="I264">
        <v>0</v>
      </c>
      <c r="J264">
        <v>44</v>
      </c>
      <c r="K264" t="s">
        <v>18</v>
      </c>
      <c r="L264" s="1">
        <v>45026</v>
      </c>
    </row>
    <row r="265" spans="1:12" x14ac:dyDescent="0.3">
      <c r="A265" t="s">
        <v>1051</v>
      </c>
      <c r="B265" t="s">
        <v>1053</v>
      </c>
      <c r="C265" t="s">
        <v>1054</v>
      </c>
      <c r="D265" t="s">
        <v>122</v>
      </c>
      <c r="E265" t="s">
        <v>32</v>
      </c>
      <c r="F265" t="s">
        <v>84</v>
      </c>
      <c r="G265">
        <v>372</v>
      </c>
      <c r="H265">
        <v>1</v>
      </c>
      <c r="I265">
        <v>0.1</v>
      </c>
      <c r="J265">
        <v>54</v>
      </c>
      <c r="K265" t="s">
        <v>26</v>
      </c>
      <c r="L265" s="1">
        <v>45204</v>
      </c>
    </row>
    <row r="266" spans="1:12" x14ac:dyDescent="0.3">
      <c r="A266" t="s">
        <v>1055</v>
      </c>
      <c r="B266" t="s">
        <v>1057</v>
      </c>
      <c r="C266" t="s">
        <v>1058</v>
      </c>
      <c r="D266" t="s">
        <v>122</v>
      </c>
      <c r="E266" t="s">
        <v>16</v>
      </c>
      <c r="F266" t="s">
        <v>89</v>
      </c>
      <c r="G266">
        <v>272</v>
      </c>
      <c r="H266">
        <v>2</v>
      </c>
      <c r="I266">
        <v>0.05</v>
      </c>
      <c r="J266">
        <v>44</v>
      </c>
      <c r="K266" t="s">
        <v>18</v>
      </c>
      <c r="L266" s="1">
        <v>45205</v>
      </c>
    </row>
    <row r="267" spans="1:12" x14ac:dyDescent="0.3">
      <c r="A267" t="s">
        <v>1059</v>
      </c>
      <c r="B267" t="s">
        <v>1061</v>
      </c>
      <c r="C267" t="s">
        <v>1062</v>
      </c>
      <c r="D267" t="s">
        <v>122</v>
      </c>
      <c r="E267" t="s">
        <v>45</v>
      </c>
      <c r="F267" t="s">
        <v>95</v>
      </c>
      <c r="G267">
        <v>172</v>
      </c>
      <c r="H267">
        <v>1</v>
      </c>
      <c r="I267">
        <v>0</v>
      </c>
      <c r="J267">
        <v>39</v>
      </c>
      <c r="K267" t="s">
        <v>26</v>
      </c>
      <c r="L267" s="1">
        <v>45117</v>
      </c>
    </row>
    <row r="268" spans="1:12" x14ac:dyDescent="0.3">
      <c r="A268" t="s">
        <v>1063</v>
      </c>
      <c r="B268" t="s">
        <v>1065</v>
      </c>
      <c r="C268" t="s">
        <v>1066</v>
      </c>
      <c r="D268" t="s">
        <v>122</v>
      </c>
      <c r="E268" t="s">
        <v>32</v>
      </c>
      <c r="F268" t="s">
        <v>100</v>
      </c>
      <c r="G268">
        <v>222</v>
      </c>
      <c r="H268">
        <v>1</v>
      </c>
      <c r="I268">
        <v>0.1</v>
      </c>
      <c r="J268">
        <v>34</v>
      </c>
      <c r="K268" t="s">
        <v>18</v>
      </c>
      <c r="L268" s="1">
        <v>45148</v>
      </c>
    </row>
    <row r="269" spans="1:12" x14ac:dyDescent="0.3">
      <c r="A269" t="s">
        <v>1067</v>
      </c>
      <c r="B269" t="s">
        <v>1069</v>
      </c>
      <c r="C269" t="s">
        <v>1070</v>
      </c>
      <c r="D269" t="s">
        <v>122</v>
      </c>
      <c r="E269" t="s">
        <v>16</v>
      </c>
      <c r="F269" t="s">
        <v>106</v>
      </c>
      <c r="G269">
        <v>222</v>
      </c>
      <c r="H269">
        <v>1</v>
      </c>
      <c r="I269">
        <v>0</v>
      </c>
      <c r="J269">
        <v>54</v>
      </c>
      <c r="K269" t="s">
        <v>26</v>
      </c>
      <c r="L269" s="1">
        <v>45208</v>
      </c>
    </row>
    <row r="270" spans="1:12" x14ac:dyDescent="0.3">
      <c r="A270" t="s">
        <v>1071</v>
      </c>
      <c r="B270" t="s">
        <v>1073</v>
      </c>
      <c r="C270" t="s">
        <v>1074</v>
      </c>
      <c r="D270" t="s">
        <v>122</v>
      </c>
      <c r="E270" t="s">
        <v>45</v>
      </c>
      <c r="F270" t="s">
        <v>112</v>
      </c>
      <c r="G270">
        <v>74</v>
      </c>
      <c r="H270">
        <v>2</v>
      </c>
      <c r="I270">
        <v>0.1</v>
      </c>
      <c r="J270">
        <v>18</v>
      </c>
      <c r="K270" t="s">
        <v>18</v>
      </c>
      <c r="L270" s="1">
        <v>45209</v>
      </c>
    </row>
    <row r="271" spans="1:12" x14ac:dyDescent="0.3">
      <c r="A271" t="s">
        <v>1075</v>
      </c>
      <c r="B271" t="s">
        <v>1077</v>
      </c>
      <c r="C271" t="s">
        <v>2004</v>
      </c>
      <c r="D271" t="s">
        <v>122</v>
      </c>
      <c r="E271" t="s">
        <v>32</v>
      </c>
      <c r="F271" t="s">
        <v>117</v>
      </c>
      <c r="G271">
        <v>1140</v>
      </c>
      <c r="H271">
        <v>1</v>
      </c>
      <c r="I271">
        <v>0.2</v>
      </c>
      <c r="J271">
        <v>172</v>
      </c>
      <c r="K271" t="s">
        <v>26</v>
      </c>
      <c r="L271" s="1">
        <v>45240</v>
      </c>
    </row>
    <row r="272" spans="1:12" x14ac:dyDescent="0.3">
      <c r="A272" t="s">
        <v>1078</v>
      </c>
      <c r="B272" t="s">
        <v>1080</v>
      </c>
      <c r="C272" t="s">
        <v>1081</v>
      </c>
      <c r="D272" t="s">
        <v>122</v>
      </c>
      <c r="E272" t="s">
        <v>16</v>
      </c>
      <c r="F272" t="s">
        <v>123</v>
      </c>
      <c r="G272">
        <v>740</v>
      </c>
      <c r="H272">
        <v>1</v>
      </c>
      <c r="I272">
        <v>0</v>
      </c>
      <c r="J272">
        <v>102</v>
      </c>
      <c r="K272" t="s">
        <v>18</v>
      </c>
      <c r="L272" s="1">
        <v>45211</v>
      </c>
    </row>
    <row r="273" spans="1:12" x14ac:dyDescent="0.3">
      <c r="A273" t="s">
        <v>1082</v>
      </c>
      <c r="B273" t="s">
        <v>1084</v>
      </c>
      <c r="C273" t="s">
        <v>1085</v>
      </c>
      <c r="D273" t="s">
        <v>122</v>
      </c>
      <c r="E273" t="s">
        <v>45</v>
      </c>
      <c r="F273" t="s">
        <v>129</v>
      </c>
      <c r="G273">
        <v>44</v>
      </c>
      <c r="H273">
        <v>3</v>
      </c>
      <c r="I273">
        <v>0</v>
      </c>
      <c r="J273">
        <v>12</v>
      </c>
      <c r="K273" t="s">
        <v>26</v>
      </c>
      <c r="L273" s="1">
        <v>45212</v>
      </c>
    </row>
    <row r="274" spans="1:12" x14ac:dyDescent="0.3">
      <c r="A274" t="s">
        <v>1086</v>
      </c>
      <c r="B274" t="s">
        <v>1088</v>
      </c>
      <c r="C274" t="s">
        <v>862</v>
      </c>
      <c r="D274" t="s">
        <v>122</v>
      </c>
      <c r="E274" t="s">
        <v>32</v>
      </c>
      <c r="F274" t="s">
        <v>135</v>
      </c>
      <c r="G274">
        <v>-440</v>
      </c>
      <c r="H274">
        <v>1</v>
      </c>
      <c r="I274">
        <v>0</v>
      </c>
      <c r="J274">
        <v>-34</v>
      </c>
      <c r="K274" t="s">
        <v>18</v>
      </c>
      <c r="L274" s="1"/>
    </row>
    <row r="275" spans="1:12" x14ac:dyDescent="0.3">
      <c r="A275" t="s">
        <v>1089</v>
      </c>
      <c r="B275" t="s">
        <v>1091</v>
      </c>
      <c r="C275" t="s">
        <v>1092</v>
      </c>
      <c r="D275" t="s">
        <v>122</v>
      </c>
      <c r="E275" t="s">
        <v>16</v>
      </c>
      <c r="F275" t="s">
        <v>141</v>
      </c>
      <c r="G275">
        <v>94</v>
      </c>
      <c r="H275">
        <v>2</v>
      </c>
      <c r="I275">
        <v>0.1</v>
      </c>
      <c r="J275">
        <v>27</v>
      </c>
      <c r="K275" t="s">
        <v>26</v>
      </c>
      <c r="L275" s="1">
        <v>45214</v>
      </c>
    </row>
    <row r="276" spans="1:12" x14ac:dyDescent="0.3">
      <c r="A276" t="s">
        <v>1093</v>
      </c>
      <c r="B276" t="s">
        <v>457</v>
      </c>
      <c r="C276" t="s">
        <v>1095</v>
      </c>
      <c r="D276" t="s">
        <v>122</v>
      </c>
      <c r="E276" t="s">
        <v>45</v>
      </c>
      <c r="F276" t="s">
        <v>146</v>
      </c>
      <c r="G276">
        <v>27</v>
      </c>
      <c r="H276">
        <v>5</v>
      </c>
      <c r="I276">
        <v>0</v>
      </c>
      <c r="J276">
        <v>12</v>
      </c>
      <c r="K276" t="s">
        <v>18</v>
      </c>
      <c r="L276" s="1"/>
    </row>
    <row r="277" spans="1:12" x14ac:dyDescent="0.3">
      <c r="A277" t="s">
        <v>1096</v>
      </c>
      <c r="B277" t="s">
        <v>1098</v>
      </c>
      <c r="C277" t="s">
        <v>1099</v>
      </c>
      <c r="D277" t="s">
        <v>122</v>
      </c>
      <c r="E277" t="s">
        <v>32</v>
      </c>
      <c r="F277" t="s">
        <v>152</v>
      </c>
      <c r="G277">
        <v>54</v>
      </c>
      <c r="H277">
        <v>4</v>
      </c>
      <c r="I277">
        <v>0</v>
      </c>
      <c r="J277">
        <v>18</v>
      </c>
      <c r="K277" t="s">
        <v>26</v>
      </c>
      <c r="L277" s="1">
        <v>45216</v>
      </c>
    </row>
    <row r="278" spans="1:12" x14ac:dyDescent="0.3">
      <c r="A278" t="s">
        <v>1100</v>
      </c>
      <c r="B278" t="s">
        <v>1102</v>
      </c>
      <c r="C278" t="s">
        <v>1103</v>
      </c>
      <c r="D278" t="s">
        <v>122</v>
      </c>
      <c r="E278" t="s">
        <v>16</v>
      </c>
      <c r="F278" t="s">
        <v>158</v>
      </c>
      <c r="G278">
        <v>64</v>
      </c>
      <c r="H278">
        <v>2</v>
      </c>
      <c r="I278">
        <v>0</v>
      </c>
      <c r="J278">
        <v>18</v>
      </c>
      <c r="K278" t="s">
        <v>18</v>
      </c>
      <c r="L278" s="1">
        <v>45217</v>
      </c>
    </row>
    <row r="279" spans="1:12" x14ac:dyDescent="0.3">
      <c r="A279" t="s">
        <v>1104</v>
      </c>
      <c r="B279" t="s">
        <v>1106</v>
      </c>
      <c r="C279" t="s">
        <v>2004</v>
      </c>
      <c r="D279" t="s">
        <v>122</v>
      </c>
      <c r="E279" t="s">
        <v>45</v>
      </c>
      <c r="F279" t="s">
        <v>163</v>
      </c>
      <c r="G279">
        <v>34</v>
      </c>
      <c r="H279">
        <v>1</v>
      </c>
      <c r="I279">
        <v>0</v>
      </c>
      <c r="J279">
        <v>12</v>
      </c>
      <c r="K279" t="s">
        <v>26</v>
      </c>
      <c r="L279" s="1"/>
    </row>
    <row r="280" spans="1:12" x14ac:dyDescent="0.3">
      <c r="A280" t="s">
        <v>1107</v>
      </c>
      <c r="B280" t="s">
        <v>1109</v>
      </c>
      <c r="C280" t="s">
        <v>1110</v>
      </c>
      <c r="D280" t="s">
        <v>122</v>
      </c>
      <c r="E280" t="s">
        <v>32</v>
      </c>
      <c r="F280" t="s">
        <v>168</v>
      </c>
      <c r="G280">
        <v>74</v>
      </c>
      <c r="H280">
        <v>2</v>
      </c>
      <c r="I280">
        <v>0.1</v>
      </c>
      <c r="J280">
        <v>18</v>
      </c>
      <c r="K280" t="s">
        <v>18</v>
      </c>
      <c r="L280" s="1">
        <v>45219</v>
      </c>
    </row>
    <row r="281" spans="1:12" x14ac:dyDescent="0.3">
      <c r="A281" t="s">
        <v>1111</v>
      </c>
      <c r="B281" t="s">
        <v>1113</v>
      </c>
      <c r="C281" t="s">
        <v>1114</v>
      </c>
      <c r="D281" t="s">
        <v>122</v>
      </c>
      <c r="E281" t="s">
        <v>16</v>
      </c>
      <c r="F281" t="s">
        <v>174</v>
      </c>
      <c r="G281">
        <v>39</v>
      </c>
      <c r="H281">
        <v>3</v>
      </c>
      <c r="I281">
        <v>0</v>
      </c>
      <c r="J281">
        <v>12</v>
      </c>
      <c r="K281" t="s">
        <v>26</v>
      </c>
      <c r="L281" s="1"/>
    </row>
    <row r="282" spans="1:12" x14ac:dyDescent="0.3">
      <c r="A282" t="s">
        <v>1115</v>
      </c>
      <c r="B282" t="s">
        <v>1968</v>
      </c>
      <c r="C282" t="s">
        <v>127</v>
      </c>
      <c r="D282" t="s">
        <v>128</v>
      </c>
      <c r="E282" t="s">
        <v>16</v>
      </c>
      <c r="F282" t="s">
        <v>17</v>
      </c>
      <c r="G282">
        <v>1260</v>
      </c>
      <c r="H282">
        <v>1</v>
      </c>
      <c r="I282">
        <v>0.1</v>
      </c>
      <c r="J282">
        <v>164</v>
      </c>
      <c r="K282" t="s">
        <v>18</v>
      </c>
      <c r="L282" s="1"/>
    </row>
    <row r="283" spans="1:12" x14ac:dyDescent="0.3">
      <c r="A283" t="s">
        <v>1118</v>
      </c>
      <c r="B283" t="s">
        <v>1969</v>
      </c>
      <c r="C283" t="s">
        <v>1121</v>
      </c>
      <c r="D283" t="s">
        <v>128</v>
      </c>
      <c r="E283" t="s">
        <v>45</v>
      </c>
      <c r="F283" t="s">
        <v>25</v>
      </c>
      <c r="G283">
        <v>32</v>
      </c>
      <c r="H283">
        <v>2</v>
      </c>
      <c r="I283">
        <v>0</v>
      </c>
      <c r="J283">
        <v>17</v>
      </c>
      <c r="K283" t="s">
        <v>26</v>
      </c>
      <c r="L283" s="1">
        <v>45222</v>
      </c>
    </row>
    <row r="284" spans="1:12" x14ac:dyDescent="0.3">
      <c r="A284" t="s">
        <v>1122</v>
      </c>
      <c r="B284" t="s">
        <v>1124</v>
      </c>
      <c r="C284" t="s">
        <v>2004</v>
      </c>
      <c r="D284" t="s">
        <v>128</v>
      </c>
      <c r="E284" t="s">
        <v>32</v>
      </c>
      <c r="F284" t="s">
        <v>33</v>
      </c>
      <c r="G284">
        <v>-570</v>
      </c>
      <c r="H284">
        <v>1</v>
      </c>
      <c r="I284">
        <v>0</v>
      </c>
      <c r="J284">
        <v>-64</v>
      </c>
      <c r="K284" t="s">
        <v>18</v>
      </c>
      <c r="L284" s="1">
        <v>45223</v>
      </c>
    </row>
    <row r="285" spans="1:12" x14ac:dyDescent="0.3">
      <c r="A285" t="s">
        <v>1125</v>
      </c>
      <c r="B285" t="s">
        <v>1970</v>
      </c>
      <c r="C285" t="s">
        <v>1128</v>
      </c>
      <c r="D285" t="s">
        <v>128</v>
      </c>
      <c r="E285" t="s">
        <v>16</v>
      </c>
      <c r="F285" t="s">
        <v>39</v>
      </c>
      <c r="G285">
        <v>940</v>
      </c>
      <c r="H285">
        <v>1</v>
      </c>
      <c r="I285">
        <v>0.05</v>
      </c>
      <c r="J285">
        <v>124</v>
      </c>
      <c r="K285" t="s">
        <v>18</v>
      </c>
      <c r="L285" s="1"/>
    </row>
    <row r="286" spans="1:12" x14ac:dyDescent="0.3">
      <c r="A286" t="s">
        <v>1129</v>
      </c>
      <c r="B286" t="s">
        <v>1131</v>
      </c>
      <c r="C286" t="s">
        <v>1132</v>
      </c>
      <c r="D286" t="s">
        <v>128</v>
      </c>
      <c r="E286" t="s">
        <v>45</v>
      </c>
      <c r="F286" t="s">
        <v>46</v>
      </c>
      <c r="G286">
        <v>66</v>
      </c>
      <c r="H286">
        <v>3</v>
      </c>
      <c r="I286">
        <v>0</v>
      </c>
      <c r="J286">
        <v>29</v>
      </c>
      <c r="K286" t="s">
        <v>26</v>
      </c>
      <c r="L286" s="1"/>
    </row>
    <row r="287" spans="1:12" x14ac:dyDescent="0.3">
      <c r="A287" t="s">
        <v>1133</v>
      </c>
      <c r="B287" t="s">
        <v>1135</v>
      </c>
      <c r="C287" t="s">
        <v>862</v>
      </c>
      <c r="D287" t="s">
        <v>128</v>
      </c>
      <c r="E287" t="s">
        <v>32</v>
      </c>
      <c r="F287" t="s">
        <v>53</v>
      </c>
      <c r="G287">
        <v>174</v>
      </c>
      <c r="H287">
        <v>4</v>
      </c>
      <c r="I287">
        <v>0.1</v>
      </c>
      <c r="J287">
        <v>32</v>
      </c>
      <c r="K287" t="s">
        <v>26</v>
      </c>
      <c r="L287" s="1">
        <v>45226</v>
      </c>
    </row>
    <row r="288" spans="1:12" x14ac:dyDescent="0.3">
      <c r="A288" t="s">
        <v>1136</v>
      </c>
      <c r="B288" t="s">
        <v>1138</v>
      </c>
      <c r="C288" t="s">
        <v>1139</v>
      </c>
      <c r="D288" t="s">
        <v>128</v>
      </c>
      <c r="E288" t="s">
        <v>16</v>
      </c>
      <c r="F288" t="s">
        <v>59</v>
      </c>
      <c r="G288">
        <v>324</v>
      </c>
      <c r="H288">
        <v>2</v>
      </c>
      <c r="I288">
        <v>0</v>
      </c>
      <c r="J288">
        <v>56</v>
      </c>
      <c r="K288" t="s">
        <v>18</v>
      </c>
      <c r="L288" s="1"/>
    </row>
    <row r="289" spans="1:12" x14ac:dyDescent="0.3">
      <c r="A289" t="s">
        <v>1140</v>
      </c>
      <c r="B289" t="s">
        <v>1142</v>
      </c>
      <c r="C289" t="s">
        <v>2004</v>
      </c>
      <c r="D289" t="s">
        <v>128</v>
      </c>
      <c r="E289" t="s">
        <v>45</v>
      </c>
      <c r="F289" t="s">
        <v>63</v>
      </c>
      <c r="G289">
        <v>94</v>
      </c>
      <c r="H289">
        <v>1</v>
      </c>
      <c r="I289">
        <v>0.2</v>
      </c>
      <c r="J289">
        <v>29</v>
      </c>
      <c r="K289" t="s">
        <v>26</v>
      </c>
      <c r="L289" s="1"/>
    </row>
    <row r="290" spans="1:12" x14ac:dyDescent="0.3">
      <c r="A290" t="s">
        <v>1143</v>
      </c>
      <c r="B290" t="s">
        <v>1145</v>
      </c>
      <c r="C290" t="s">
        <v>1146</v>
      </c>
      <c r="D290" t="s">
        <v>128</v>
      </c>
      <c r="E290" t="s">
        <v>32</v>
      </c>
      <c r="F290" t="s">
        <v>68</v>
      </c>
      <c r="G290">
        <v>1040</v>
      </c>
      <c r="H290">
        <v>1</v>
      </c>
      <c r="I290">
        <v>0.15</v>
      </c>
      <c r="J290">
        <v>124</v>
      </c>
      <c r="K290" t="s">
        <v>18</v>
      </c>
      <c r="L290" s="1">
        <v>45229</v>
      </c>
    </row>
    <row r="291" spans="1:12" hidden="1" x14ac:dyDescent="0.3">
      <c r="A291" t="s">
        <v>1147</v>
      </c>
      <c r="B291" t="s">
        <v>1149</v>
      </c>
      <c r="C291" t="s">
        <v>1150</v>
      </c>
      <c r="D291" t="s">
        <v>128</v>
      </c>
      <c r="E291" t="s">
        <v>16</v>
      </c>
      <c r="F291" t="s">
        <v>73</v>
      </c>
      <c r="G291">
        <v>124</v>
      </c>
      <c r="H291">
        <v>0</v>
      </c>
      <c r="I291">
        <v>0</v>
      </c>
      <c r="J291">
        <v>36</v>
      </c>
      <c r="K291" t="s">
        <v>26</v>
      </c>
      <c r="L291" s="1"/>
    </row>
    <row r="292" spans="1:12" hidden="1" x14ac:dyDescent="0.3">
      <c r="A292" t="s">
        <v>1151</v>
      </c>
      <c r="B292" t="s">
        <v>1971</v>
      </c>
      <c r="C292" t="s">
        <v>1154</v>
      </c>
      <c r="D292" t="s">
        <v>128</v>
      </c>
      <c r="E292" t="s">
        <v>45</v>
      </c>
      <c r="F292" t="s">
        <v>79</v>
      </c>
      <c r="G292">
        <v>144</v>
      </c>
      <c r="H292">
        <v>-1</v>
      </c>
      <c r="I292">
        <v>0</v>
      </c>
      <c r="J292">
        <v>46</v>
      </c>
      <c r="K292" t="s">
        <v>18</v>
      </c>
      <c r="L292" s="1">
        <v>44937</v>
      </c>
    </row>
    <row r="293" spans="1:12" x14ac:dyDescent="0.3">
      <c r="A293" t="s">
        <v>1155</v>
      </c>
      <c r="B293" t="s">
        <v>1157</v>
      </c>
      <c r="C293" t="s">
        <v>1158</v>
      </c>
      <c r="D293" t="s">
        <v>128</v>
      </c>
      <c r="E293" t="s">
        <v>32</v>
      </c>
      <c r="F293" t="s">
        <v>84</v>
      </c>
      <c r="G293">
        <v>374</v>
      </c>
      <c r="H293">
        <v>1</v>
      </c>
      <c r="I293">
        <v>0.1</v>
      </c>
      <c r="J293">
        <v>56</v>
      </c>
      <c r="K293" t="s">
        <v>26</v>
      </c>
      <c r="L293" s="1">
        <v>45232</v>
      </c>
    </row>
    <row r="294" spans="1:12" x14ac:dyDescent="0.3">
      <c r="A294" t="s">
        <v>1159</v>
      </c>
      <c r="B294" t="s">
        <v>1161</v>
      </c>
      <c r="C294" t="s">
        <v>1162</v>
      </c>
      <c r="D294" t="s">
        <v>128</v>
      </c>
      <c r="E294" t="s">
        <v>16</v>
      </c>
      <c r="F294" t="s">
        <v>89</v>
      </c>
      <c r="G294">
        <v>274</v>
      </c>
      <c r="H294">
        <v>2</v>
      </c>
      <c r="I294">
        <v>0.05</v>
      </c>
      <c r="J294">
        <v>46</v>
      </c>
      <c r="K294" t="s">
        <v>18</v>
      </c>
      <c r="L294" s="1">
        <v>45233</v>
      </c>
    </row>
    <row r="295" spans="1:12" x14ac:dyDescent="0.3">
      <c r="A295" t="s">
        <v>1163</v>
      </c>
      <c r="B295" t="s">
        <v>1165</v>
      </c>
      <c r="C295" t="s">
        <v>1166</v>
      </c>
      <c r="D295" t="s">
        <v>128</v>
      </c>
      <c r="E295" t="s">
        <v>45</v>
      </c>
      <c r="F295" t="s">
        <v>95</v>
      </c>
      <c r="G295">
        <v>174</v>
      </c>
      <c r="H295">
        <v>1</v>
      </c>
      <c r="I295">
        <v>0</v>
      </c>
      <c r="J295">
        <v>41</v>
      </c>
      <c r="K295" t="s">
        <v>26</v>
      </c>
      <c r="L295" s="1">
        <v>45027</v>
      </c>
    </row>
    <row r="296" spans="1:12" x14ac:dyDescent="0.3">
      <c r="A296" t="s">
        <v>1167</v>
      </c>
      <c r="B296" t="s">
        <v>1169</v>
      </c>
      <c r="C296" t="s">
        <v>1170</v>
      </c>
      <c r="D296" t="s">
        <v>128</v>
      </c>
      <c r="E296" t="s">
        <v>32</v>
      </c>
      <c r="F296" t="s">
        <v>100</v>
      </c>
      <c r="G296">
        <v>224</v>
      </c>
      <c r="H296">
        <v>1</v>
      </c>
      <c r="I296">
        <v>0.1</v>
      </c>
      <c r="J296">
        <v>36</v>
      </c>
      <c r="K296" t="s">
        <v>18</v>
      </c>
      <c r="L296" s="1">
        <v>45057</v>
      </c>
    </row>
    <row r="297" spans="1:12" x14ac:dyDescent="0.3">
      <c r="A297" t="s">
        <v>1171</v>
      </c>
      <c r="B297" t="s">
        <v>1173</v>
      </c>
      <c r="C297" t="s">
        <v>1174</v>
      </c>
      <c r="D297" t="s">
        <v>128</v>
      </c>
      <c r="E297" t="s">
        <v>16</v>
      </c>
      <c r="F297" t="s">
        <v>106</v>
      </c>
      <c r="G297">
        <v>224</v>
      </c>
      <c r="H297">
        <v>1</v>
      </c>
      <c r="I297">
        <v>0</v>
      </c>
      <c r="J297">
        <v>56</v>
      </c>
      <c r="K297" t="s">
        <v>26</v>
      </c>
      <c r="L297" s="1">
        <v>45236</v>
      </c>
    </row>
    <row r="298" spans="1:12" x14ac:dyDescent="0.3">
      <c r="A298" t="s">
        <v>1175</v>
      </c>
      <c r="B298" t="s">
        <v>1177</v>
      </c>
      <c r="C298" t="s">
        <v>1178</v>
      </c>
      <c r="D298" t="s">
        <v>128</v>
      </c>
      <c r="E298" t="s">
        <v>45</v>
      </c>
      <c r="F298" t="s">
        <v>112</v>
      </c>
      <c r="G298">
        <v>76</v>
      </c>
      <c r="H298">
        <v>2</v>
      </c>
      <c r="I298">
        <v>0.1</v>
      </c>
      <c r="J298">
        <v>19</v>
      </c>
      <c r="K298" t="s">
        <v>18</v>
      </c>
      <c r="L298" s="1">
        <v>45118</v>
      </c>
    </row>
    <row r="299" spans="1:12" x14ac:dyDescent="0.3">
      <c r="A299" t="s">
        <v>1179</v>
      </c>
      <c r="B299" t="s">
        <v>1181</v>
      </c>
      <c r="C299" t="s">
        <v>2004</v>
      </c>
      <c r="D299" t="s">
        <v>128</v>
      </c>
      <c r="E299" t="s">
        <v>32</v>
      </c>
      <c r="F299" t="s">
        <v>117</v>
      </c>
      <c r="G299">
        <v>1160</v>
      </c>
      <c r="H299">
        <v>1</v>
      </c>
      <c r="I299">
        <v>0.2</v>
      </c>
      <c r="J299">
        <v>174</v>
      </c>
      <c r="K299" t="s">
        <v>26</v>
      </c>
      <c r="L299" s="1">
        <v>45149</v>
      </c>
    </row>
    <row r="300" spans="1:12" x14ac:dyDescent="0.3">
      <c r="A300" t="s">
        <v>1182</v>
      </c>
      <c r="B300" t="s">
        <v>1184</v>
      </c>
      <c r="C300" t="s">
        <v>1185</v>
      </c>
      <c r="D300" t="s">
        <v>128</v>
      </c>
      <c r="E300" t="s">
        <v>16</v>
      </c>
      <c r="F300" t="s">
        <v>123</v>
      </c>
      <c r="G300">
        <v>760</v>
      </c>
      <c r="H300">
        <v>1</v>
      </c>
      <c r="I300">
        <v>0</v>
      </c>
      <c r="J300">
        <v>104</v>
      </c>
      <c r="K300" t="s">
        <v>18</v>
      </c>
      <c r="L300" s="1">
        <v>45239</v>
      </c>
    </row>
    <row r="301" spans="1:12" x14ac:dyDescent="0.3">
      <c r="A301" t="s">
        <v>1186</v>
      </c>
      <c r="B301" t="s">
        <v>1188</v>
      </c>
      <c r="C301" t="s">
        <v>1189</v>
      </c>
      <c r="D301" t="s">
        <v>128</v>
      </c>
      <c r="E301" t="s">
        <v>45</v>
      </c>
      <c r="F301" t="s">
        <v>129</v>
      </c>
      <c r="G301">
        <v>46</v>
      </c>
      <c r="H301">
        <v>3</v>
      </c>
      <c r="I301">
        <v>0</v>
      </c>
      <c r="J301">
        <v>13</v>
      </c>
      <c r="K301" t="s">
        <v>26</v>
      </c>
      <c r="L301" s="1">
        <v>45240</v>
      </c>
    </row>
    <row r="302" spans="1:12" x14ac:dyDescent="0.3">
      <c r="A302" t="s">
        <v>1190</v>
      </c>
      <c r="B302" t="s">
        <v>1192</v>
      </c>
      <c r="C302" t="s">
        <v>1193</v>
      </c>
      <c r="D302" t="s">
        <v>128</v>
      </c>
      <c r="E302" t="s">
        <v>32</v>
      </c>
      <c r="F302" t="s">
        <v>135</v>
      </c>
      <c r="G302">
        <v>-460</v>
      </c>
      <c r="H302">
        <v>1</v>
      </c>
      <c r="I302">
        <v>0</v>
      </c>
      <c r="J302">
        <v>-36</v>
      </c>
      <c r="K302" t="s">
        <v>18</v>
      </c>
      <c r="L302" s="1">
        <v>45241</v>
      </c>
    </row>
    <row r="303" spans="1:12" x14ac:dyDescent="0.3">
      <c r="A303" t="s">
        <v>1194</v>
      </c>
      <c r="B303" t="s">
        <v>1196</v>
      </c>
      <c r="C303" t="s">
        <v>1197</v>
      </c>
      <c r="D303" t="s">
        <v>128</v>
      </c>
      <c r="E303" t="s">
        <v>16</v>
      </c>
      <c r="F303" t="s">
        <v>141</v>
      </c>
      <c r="G303">
        <v>96</v>
      </c>
      <c r="H303">
        <v>2</v>
      </c>
      <c r="I303">
        <v>0.1</v>
      </c>
      <c r="J303">
        <v>29</v>
      </c>
      <c r="K303" t="s">
        <v>26</v>
      </c>
      <c r="L303" s="1">
        <v>45242</v>
      </c>
    </row>
    <row r="304" spans="1:12" x14ac:dyDescent="0.3">
      <c r="A304" t="s">
        <v>1198</v>
      </c>
      <c r="B304" t="s">
        <v>1200</v>
      </c>
      <c r="C304" t="s">
        <v>1201</v>
      </c>
      <c r="D304" t="s">
        <v>128</v>
      </c>
      <c r="E304" t="s">
        <v>45</v>
      </c>
      <c r="F304" t="s">
        <v>146</v>
      </c>
      <c r="G304">
        <v>29</v>
      </c>
      <c r="H304">
        <v>5</v>
      </c>
      <c r="I304">
        <v>0</v>
      </c>
      <c r="J304">
        <v>13</v>
      </c>
      <c r="K304" t="s">
        <v>18</v>
      </c>
      <c r="L304" s="1"/>
    </row>
    <row r="305" spans="1:12" x14ac:dyDescent="0.3">
      <c r="A305" t="s">
        <v>1202</v>
      </c>
      <c r="B305" t="s">
        <v>1204</v>
      </c>
      <c r="C305" t="s">
        <v>1205</v>
      </c>
      <c r="D305" t="s">
        <v>128</v>
      </c>
      <c r="E305" t="s">
        <v>32</v>
      </c>
      <c r="F305" t="s">
        <v>152</v>
      </c>
      <c r="G305">
        <v>56</v>
      </c>
      <c r="H305">
        <v>4</v>
      </c>
      <c r="I305">
        <v>0</v>
      </c>
      <c r="J305">
        <v>19</v>
      </c>
      <c r="K305" t="s">
        <v>26</v>
      </c>
      <c r="L305" s="1">
        <v>45244</v>
      </c>
    </row>
    <row r="306" spans="1:12" x14ac:dyDescent="0.3">
      <c r="A306" t="s">
        <v>1206</v>
      </c>
      <c r="B306" t="s">
        <v>1208</v>
      </c>
      <c r="C306" t="s">
        <v>1209</v>
      </c>
      <c r="D306" t="s">
        <v>128</v>
      </c>
      <c r="E306" t="s">
        <v>16</v>
      </c>
      <c r="F306" t="s">
        <v>158</v>
      </c>
      <c r="G306">
        <v>66</v>
      </c>
      <c r="H306">
        <v>2</v>
      </c>
      <c r="I306">
        <v>0</v>
      </c>
      <c r="J306">
        <v>19</v>
      </c>
      <c r="K306" t="s">
        <v>18</v>
      </c>
      <c r="L306" s="1">
        <v>45245</v>
      </c>
    </row>
    <row r="307" spans="1:12" x14ac:dyDescent="0.3">
      <c r="A307" t="s">
        <v>1210</v>
      </c>
      <c r="B307" t="s">
        <v>1212</v>
      </c>
      <c r="C307" t="s">
        <v>2004</v>
      </c>
      <c r="D307" t="s">
        <v>128</v>
      </c>
      <c r="E307" t="s">
        <v>45</v>
      </c>
      <c r="F307" t="s">
        <v>163</v>
      </c>
      <c r="G307">
        <v>36</v>
      </c>
      <c r="H307">
        <v>1</v>
      </c>
      <c r="I307">
        <v>0</v>
      </c>
      <c r="J307">
        <v>13</v>
      </c>
      <c r="K307" t="s">
        <v>26</v>
      </c>
      <c r="L307" s="1"/>
    </row>
    <row r="308" spans="1:12" x14ac:dyDescent="0.3">
      <c r="A308" t="s">
        <v>1213</v>
      </c>
      <c r="B308" t="s">
        <v>1215</v>
      </c>
      <c r="C308" t="s">
        <v>1216</v>
      </c>
      <c r="D308" t="s">
        <v>128</v>
      </c>
      <c r="E308" t="s">
        <v>32</v>
      </c>
      <c r="F308" t="s">
        <v>168</v>
      </c>
      <c r="G308">
        <v>76</v>
      </c>
      <c r="H308">
        <v>2</v>
      </c>
      <c r="I308">
        <v>0.1</v>
      </c>
      <c r="J308">
        <v>19</v>
      </c>
      <c r="K308" t="s">
        <v>18</v>
      </c>
      <c r="L308" s="1">
        <v>45247</v>
      </c>
    </row>
    <row r="309" spans="1:12" x14ac:dyDescent="0.3">
      <c r="A309" t="s">
        <v>1217</v>
      </c>
      <c r="B309" t="s">
        <v>278</v>
      </c>
      <c r="C309" t="s">
        <v>1219</v>
      </c>
      <c r="D309" t="s">
        <v>128</v>
      </c>
      <c r="E309" t="s">
        <v>16</v>
      </c>
      <c r="F309" t="s">
        <v>174</v>
      </c>
      <c r="G309">
        <v>41</v>
      </c>
      <c r="H309">
        <v>3</v>
      </c>
      <c r="I309">
        <v>0</v>
      </c>
      <c r="J309">
        <v>13</v>
      </c>
      <c r="K309" t="s">
        <v>26</v>
      </c>
      <c r="L309" s="1"/>
    </row>
    <row r="310" spans="1:12" x14ac:dyDescent="0.3">
      <c r="A310" t="s">
        <v>1220</v>
      </c>
      <c r="B310" t="s">
        <v>1972</v>
      </c>
      <c r="C310" t="s">
        <v>133</v>
      </c>
      <c r="D310" t="s">
        <v>134</v>
      </c>
      <c r="E310" t="s">
        <v>16</v>
      </c>
      <c r="F310" t="s">
        <v>17</v>
      </c>
      <c r="G310">
        <v>1270</v>
      </c>
      <c r="H310">
        <v>1</v>
      </c>
      <c r="I310">
        <v>0.1</v>
      </c>
      <c r="J310">
        <v>166</v>
      </c>
      <c r="K310" t="s">
        <v>18</v>
      </c>
      <c r="L310" s="1"/>
    </row>
    <row r="311" spans="1:12" x14ac:dyDescent="0.3">
      <c r="A311" t="s">
        <v>1223</v>
      </c>
      <c r="B311" t="s">
        <v>1973</v>
      </c>
      <c r="C311" t="s">
        <v>1226</v>
      </c>
      <c r="D311" t="s">
        <v>134</v>
      </c>
      <c r="E311" t="s">
        <v>45</v>
      </c>
      <c r="F311" t="s">
        <v>25</v>
      </c>
      <c r="G311">
        <v>33</v>
      </c>
      <c r="H311">
        <v>2</v>
      </c>
      <c r="I311">
        <v>0</v>
      </c>
      <c r="J311">
        <v>18</v>
      </c>
      <c r="K311" t="s">
        <v>26</v>
      </c>
      <c r="L311" s="1">
        <v>45250</v>
      </c>
    </row>
    <row r="312" spans="1:12" x14ac:dyDescent="0.3">
      <c r="A312" t="s">
        <v>1227</v>
      </c>
      <c r="B312" t="s">
        <v>1229</v>
      </c>
      <c r="C312" t="s">
        <v>2004</v>
      </c>
      <c r="D312" t="s">
        <v>134</v>
      </c>
      <c r="E312" t="s">
        <v>32</v>
      </c>
      <c r="F312" t="s">
        <v>33</v>
      </c>
      <c r="G312">
        <v>-580</v>
      </c>
      <c r="H312">
        <v>1</v>
      </c>
      <c r="I312">
        <v>0</v>
      </c>
      <c r="J312">
        <v>-66</v>
      </c>
      <c r="K312" t="s">
        <v>18</v>
      </c>
      <c r="L312" s="1">
        <v>45251</v>
      </c>
    </row>
    <row r="313" spans="1:12" x14ac:dyDescent="0.3">
      <c r="A313" t="s">
        <v>1230</v>
      </c>
      <c r="B313" t="s">
        <v>1974</v>
      </c>
      <c r="C313" t="s">
        <v>133</v>
      </c>
      <c r="D313" t="s">
        <v>134</v>
      </c>
      <c r="E313" t="s">
        <v>16</v>
      </c>
      <c r="F313" t="s">
        <v>39</v>
      </c>
      <c r="G313">
        <v>960</v>
      </c>
      <c r="H313">
        <v>1</v>
      </c>
      <c r="I313">
        <v>0.05</v>
      </c>
      <c r="J313">
        <v>126</v>
      </c>
      <c r="K313" t="s">
        <v>18</v>
      </c>
      <c r="L313" s="1"/>
    </row>
    <row r="314" spans="1:12" x14ac:dyDescent="0.3">
      <c r="A314" t="s">
        <v>1233</v>
      </c>
      <c r="B314" t="s">
        <v>1235</v>
      </c>
      <c r="C314" t="s">
        <v>133</v>
      </c>
      <c r="D314" t="s">
        <v>134</v>
      </c>
      <c r="E314" t="s">
        <v>45</v>
      </c>
      <c r="F314" t="s">
        <v>46</v>
      </c>
      <c r="G314">
        <v>68</v>
      </c>
      <c r="H314">
        <v>3</v>
      </c>
      <c r="I314">
        <v>0</v>
      </c>
      <c r="J314">
        <v>31</v>
      </c>
      <c r="K314" t="s">
        <v>26</v>
      </c>
      <c r="L314" s="1"/>
    </row>
    <row r="315" spans="1:12" x14ac:dyDescent="0.3">
      <c r="A315" t="s">
        <v>1236</v>
      </c>
      <c r="B315" t="s">
        <v>1238</v>
      </c>
      <c r="C315" t="s">
        <v>133</v>
      </c>
      <c r="D315" t="s">
        <v>134</v>
      </c>
      <c r="E315" t="s">
        <v>32</v>
      </c>
      <c r="F315" t="s">
        <v>53</v>
      </c>
      <c r="G315">
        <v>176</v>
      </c>
      <c r="H315">
        <v>4</v>
      </c>
      <c r="I315">
        <v>0.1</v>
      </c>
      <c r="J315">
        <v>34</v>
      </c>
      <c r="K315" t="s">
        <v>26</v>
      </c>
      <c r="L315" s="1">
        <v>45254</v>
      </c>
    </row>
    <row r="316" spans="1:12" x14ac:dyDescent="0.3">
      <c r="A316" t="s">
        <v>1239</v>
      </c>
      <c r="B316" t="s">
        <v>1241</v>
      </c>
      <c r="C316" t="s">
        <v>133</v>
      </c>
      <c r="D316" t="s">
        <v>134</v>
      </c>
      <c r="E316" t="s">
        <v>16</v>
      </c>
      <c r="F316" t="s">
        <v>59</v>
      </c>
      <c r="G316">
        <v>326</v>
      </c>
      <c r="H316">
        <v>2</v>
      </c>
      <c r="I316">
        <v>0</v>
      </c>
      <c r="J316">
        <v>58</v>
      </c>
      <c r="K316" t="s">
        <v>18</v>
      </c>
      <c r="L316" s="1"/>
    </row>
    <row r="317" spans="1:12" x14ac:dyDescent="0.3">
      <c r="A317" t="s">
        <v>1242</v>
      </c>
      <c r="B317" t="s">
        <v>1244</v>
      </c>
      <c r="C317" t="s">
        <v>2004</v>
      </c>
      <c r="D317" t="s">
        <v>134</v>
      </c>
      <c r="E317" t="s">
        <v>45</v>
      </c>
      <c r="F317" t="s">
        <v>63</v>
      </c>
      <c r="G317">
        <v>96</v>
      </c>
      <c r="H317">
        <v>1</v>
      </c>
      <c r="I317">
        <v>0.2</v>
      </c>
      <c r="J317">
        <v>31</v>
      </c>
      <c r="K317" t="s">
        <v>26</v>
      </c>
      <c r="L317" s="1"/>
    </row>
    <row r="318" spans="1:12" x14ac:dyDescent="0.3">
      <c r="A318" t="s">
        <v>1245</v>
      </c>
      <c r="B318" t="s">
        <v>1247</v>
      </c>
      <c r="C318" t="s">
        <v>133</v>
      </c>
      <c r="D318" t="s">
        <v>134</v>
      </c>
      <c r="E318" t="s">
        <v>32</v>
      </c>
      <c r="F318" t="s">
        <v>68</v>
      </c>
      <c r="G318">
        <v>1060</v>
      </c>
      <c r="H318">
        <v>1</v>
      </c>
      <c r="I318">
        <v>0.15</v>
      </c>
      <c r="J318">
        <v>126</v>
      </c>
      <c r="K318" t="s">
        <v>18</v>
      </c>
      <c r="L318" s="1">
        <v>45257</v>
      </c>
    </row>
    <row r="319" spans="1:12" hidden="1" x14ac:dyDescent="0.3">
      <c r="A319" t="s">
        <v>1248</v>
      </c>
      <c r="B319" t="s">
        <v>1250</v>
      </c>
      <c r="C319" t="s">
        <v>133</v>
      </c>
      <c r="D319" t="s">
        <v>134</v>
      </c>
      <c r="E319" t="s">
        <v>16</v>
      </c>
      <c r="F319" t="s">
        <v>73</v>
      </c>
      <c r="G319">
        <v>126</v>
      </c>
      <c r="H319">
        <v>0</v>
      </c>
      <c r="I319">
        <v>0</v>
      </c>
      <c r="J319">
        <v>38</v>
      </c>
      <c r="K319" t="s">
        <v>26</v>
      </c>
      <c r="L319" s="1"/>
    </row>
    <row r="320" spans="1:12" hidden="1" x14ac:dyDescent="0.3">
      <c r="A320" t="s">
        <v>1251</v>
      </c>
      <c r="B320" t="s">
        <v>1253</v>
      </c>
      <c r="C320" t="s">
        <v>133</v>
      </c>
      <c r="D320" t="s">
        <v>134</v>
      </c>
      <c r="E320" t="s">
        <v>45</v>
      </c>
      <c r="F320" t="s">
        <v>79</v>
      </c>
      <c r="G320">
        <v>146</v>
      </c>
      <c r="H320">
        <v>-1</v>
      </c>
      <c r="I320">
        <v>0</v>
      </c>
      <c r="J320">
        <v>48</v>
      </c>
      <c r="K320" t="s">
        <v>18</v>
      </c>
      <c r="L320" s="1"/>
    </row>
    <row r="321" spans="1:12" x14ac:dyDescent="0.3">
      <c r="A321" t="s">
        <v>1254</v>
      </c>
      <c r="B321" t="s">
        <v>1256</v>
      </c>
      <c r="C321" t="s">
        <v>133</v>
      </c>
      <c r="D321" t="s">
        <v>134</v>
      </c>
      <c r="E321" t="s">
        <v>32</v>
      </c>
      <c r="F321" t="s">
        <v>84</v>
      </c>
      <c r="G321">
        <v>376</v>
      </c>
      <c r="H321">
        <v>1</v>
      </c>
      <c r="I321">
        <v>0.1</v>
      </c>
      <c r="J321">
        <v>58</v>
      </c>
      <c r="K321" t="s">
        <v>26</v>
      </c>
      <c r="L321" s="1">
        <v>45260</v>
      </c>
    </row>
    <row r="322" spans="1:12" x14ac:dyDescent="0.3">
      <c r="A322" t="s">
        <v>1257</v>
      </c>
      <c r="B322" t="s">
        <v>1259</v>
      </c>
      <c r="C322" t="s">
        <v>133</v>
      </c>
      <c r="D322" t="s">
        <v>134</v>
      </c>
      <c r="E322" t="s">
        <v>16</v>
      </c>
      <c r="F322" t="s">
        <v>89</v>
      </c>
      <c r="G322">
        <v>276</v>
      </c>
      <c r="H322">
        <v>2</v>
      </c>
      <c r="I322">
        <v>0.05</v>
      </c>
      <c r="J322">
        <v>48</v>
      </c>
      <c r="K322" t="s">
        <v>18</v>
      </c>
      <c r="L322" s="1">
        <v>45261</v>
      </c>
    </row>
    <row r="323" spans="1:12" x14ac:dyDescent="0.3">
      <c r="A323" t="s">
        <v>1260</v>
      </c>
      <c r="B323" t="s">
        <v>1262</v>
      </c>
      <c r="C323" t="s">
        <v>133</v>
      </c>
      <c r="D323" t="s">
        <v>134</v>
      </c>
      <c r="E323" t="s">
        <v>45</v>
      </c>
      <c r="F323" t="s">
        <v>95</v>
      </c>
      <c r="G323">
        <v>176</v>
      </c>
      <c r="H323">
        <v>1</v>
      </c>
      <c r="I323">
        <v>0</v>
      </c>
      <c r="J323">
        <v>43</v>
      </c>
      <c r="K323" t="s">
        <v>26</v>
      </c>
      <c r="L323" s="1">
        <v>44969</v>
      </c>
    </row>
    <row r="324" spans="1:12" x14ac:dyDescent="0.3">
      <c r="A324" t="s">
        <v>1263</v>
      </c>
      <c r="B324" t="s">
        <v>1265</v>
      </c>
      <c r="C324" t="s">
        <v>133</v>
      </c>
      <c r="D324" t="s">
        <v>134</v>
      </c>
      <c r="E324" t="s">
        <v>32</v>
      </c>
      <c r="F324" t="s">
        <v>100</v>
      </c>
      <c r="G324">
        <v>226</v>
      </c>
      <c r="H324">
        <v>1</v>
      </c>
      <c r="I324">
        <v>0.1</v>
      </c>
      <c r="J324">
        <v>38</v>
      </c>
      <c r="K324" t="s">
        <v>18</v>
      </c>
      <c r="L324" s="1">
        <v>44997</v>
      </c>
    </row>
    <row r="325" spans="1:12" x14ac:dyDescent="0.3">
      <c r="A325" t="s">
        <v>1266</v>
      </c>
      <c r="B325" t="s">
        <v>1268</v>
      </c>
      <c r="C325" t="s">
        <v>133</v>
      </c>
      <c r="D325" t="s">
        <v>134</v>
      </c>
      <c r="E325" t="s">
        <v>16</v>
      </c>
      <c r="F325" t="s">
        <v>106</v>
      </c>
      <c r="G325">
        <v>226</v>
      </c>
      <c r="H325">
        <v>1</v>
      </c>
      <c r="I325">
        <v>0</v>
      </c>
      <c r="J325">
        <v>58</v>
      </c>
      <c r="K325" t="s">
        <v>26</v>
      </c>
      <c r="L325" s="1">
        <v>45264</v>
      </c>
    </row>
    <row r="326" spans="1:12" x14ac:dyDescent="0.3">
      <c r="A326" t="s">
        <v>1269</v>
      </c>
      <c r="B326" t="s">
        <v>1271</v>
      </c>
      <c r="C326" t="s">
        <v>133</v>
      </c>
      <c r="D326" t="s">
        <v>134</v>
      </c>
      <c r="E326" t="s">
        <v>45</v>
      </c>
      <c r="F326" t="s">
        <v>112</v>
      </c>
      <c r="G326">
        <v>78</v>
      </c>
      <c r="H326">
        <v>2</v>
      </c>
      <c r="I326">
        <v>0.1</v>
      </c>
      <c r="J326">
        <v>20</v>
      </c>
      <c r="K326" t="s">
        <v>18</v>
      </c>
      <c r="L326" s="1">
        <v>45058</v>
      </c>
    </row>
    <row r="327" spans="1:12" x14ac:dyDescent="0.3">
      <c r="A327" t="s">
        <v>1272</v>
      </c>
      <c r="B327" t="s">
        <v>1274</v>
      </c>
      <c r="C327" t="s">
        <v>2004</v>
      </c>
      <c r="D327" t="s">
        <v>134</v>
      </c>
      <c r="E327" t="s">
        <v>32</v>
      </c>
      <c r="F327" t="s">
        <v>117</v>
      </c>
      <c r="G327">
        <v>1180</v>
      </c>
      <c r="H327">
        <v>1</v>
      </c>
      <c r="I327">
        <v>0.2</v>
      </c>
      <c r="J327">
        <v>176</v>
      </c>
      <c r="K327" t="s">
        <v>26</v>
      </c>
      <c r="L327" s="1">
        <v>45089</v>
      </c>
    </row>
    <row r="328" spans="1:12" x14ac:dyDescent="0.3">
      <c r="A328" t="s">
        <v>1275</v>
      </c>
      <c r="B328" t="s">
        <v>664</v>
      </c>
      <c r="C328" t="s">
        <v>133</v>
      </c>
      <c r="D328" t="s">
        <v>134</v>
      </c>
      <c r="E328" t="s">
        <v>16</v>
      </c>
      <c r="F328" t="s">
        <v>123</v>
      </c>
      <c r="G328">
        <v>780</v>
      </c>
      <c r="H328">
        <v>1</v>
      </c>
      <c r="I328">
        <v>0</v>
      </c>
      <c r="J328">
        <v>106</v>
      </c>
      <c r="K328" t="s">
        <v>18</v>
      </c>
      <c r="L328" s="1">
        <v>45267</v>
      </c>
    </row>
    <row r="329" spans="1:12" x14ac:dyDescent="0.3">
      <c r="A329" t="s">
        <v>1277</v>
      </c>
      <c r="B329" t="s">
        <v>668</v>
      </c>
      <c r="C329" t="s">
        <v>133</v>
      </c>
      <c r="D329" t="s">
        <v>134</v>
      </c>
      <c r="E329" t="s">
        <v>45</v>
      </c>
      <c r="F329" t="s">
        <v>129</v>
      </c>
      <c r="G329">
        <v>48</v>
      </c>
      <c r="H329">
        <v>3</v>
      </c>
      <c r="I329">
        <v>0</v>
      </c>
      <c r="J329">
        <v>14</v>
      </c>
      <c r="K329" t="s">
        <v>26</v>
      </c>
      <c r="L329" s="1">
        <v>45268</v>
      </c>
    </row>
    <row r="330" spans="1:12" x14ac:dyDescent="0.3">
      <c r="A330" t="s">
        <v>1279</v>
      </c>
      <c r="B330" t="s">
        <v>1975</v>
      </c>
      <c r="C330" t="s">
        <v>133</v>
      </c>
      <c r="D330" t="s">
        <v>134</v>
      </c>
      <c r="E330" t="s">
        <v>32</v>
      </c>
      <c r="F330" t="s">
        <v>135</v>
      </c>
      <c r="G330">
        <v>-480</v>
      </c>
      <c r="H330">
        <v>1</v>
      </c>
      <c r="I330">
        <v>0</v>
      </c>
      <c r="J330">
        <v>-38</v>
      </c>
      <c r="K330" t="s">
        <v>18</v>
      </c>
      <c r="L330" s="1">
        <v>45181</v>
      </c>
    </row>
    <row r="331" spans="1:12" x14ac:dyDescent="0.3">
      <c r="A331" t="s">
        <v>1282</v>
      </c>
      <c r="B331" t="s">
        <v>1284</v>
      </c>
      <c r="C331" t="s">
        <v>133</v>
      </c>
      <c r="D331" t="s">
        <v>134</v>
      </c>
      <c r="E331" t="s">
        <v>16</v>
      </c>
      <c r="F331" t="s">
        <v>141</v>
      </c>
      <c r="G331">
        <v>98</v>
      </c>
      <c r="H331">
        <v>2</v>
      </c>
      <c r="I331">
        <v>0.1</v>
      </c>
      <c r="J331">
        <v>31</v>
      </c>
      <c r="K331" t="s">
        <v>26</v>
      </c>
      <c r="L331" s="1">
        <v>45270</v>
      </c>
    </row>
    <row r="332" spans="1:12" x14ac:dyDescent="0.3">
      <c r="A332" t="s">
        <v>1285</v>
      </c>
      <c r="B332" t="s">
        <v>1287</v>
      </c>
      <c r="C332" t="s">
        <v>133</v>
      </c>
      <c r="D332" t="s">
        <v>134</v>
      </c>
      <c r="E332" t="s">
        <v>45</v>
      </c>
      <c r="F332" t="s">
        <v>146</v>
      </c>
      <c r="G332">
        <v>31</v>
      </c>
      <c r="H332">
        <v>5</v>
      </c>
      <c r="I332">
        <v>0</v>
      </c>
      <c r="J332">
        <v>14</v>
      </c>
      <c r="K332" t="s">
        <v>18</v>
      </c>
      <c r="L332" s="1">
        <v>45242</v>
      </c>
    </row>
    <row r="333" spans="1:12" x14ac:dyDescent="0.3">
      <c r="A333" t="s">
        <v>1288</v>
      </c>
      <c r="B333" t="s">
        <v>1290</v>
      </c>
      <c r="C333" t="s">
        <v>133</v>
      </c>
      <c r="D333" t="s">
        <v>134</v>
      </c>
      <c r="E333" t="s">
        <v>32</v>
      </c>
      <c r="F333" t="s">
        <v>152</v>
      </c>
      <c r="G333">
        <v>58</v>
      </c>
      <c r="H333">
        <v>4</v>
      </c>
      <c r="I333">
        <v>0</v>
      </c>
      <c r="J333">
        <v>20</v>
      </c>
      <c r="K333" t="s">
        <v>26</v>
      </c>
      <c r="L333" s="1">
        <v>45272</v>
      </c>
    </row>
    <row r="334" spans="1:12" x14ac:dyDescent="0.3">
      <c r="A334" t="s">
        <v>1291</v>
      </c>
      <c r="B334" t="s">
        <v>1293</v>
      </c>
      <c r="C334" t="s">
        <v>133</v>
      </c>
      <c r="D334" t="s">
        <v>134</v>
      </c>
      <c r="E334" t="s">
        <v>16</v>
      </c>
      <c r="F334" t="s">
        <v>158</v>
      </c>
      <c r="G334">
        <v>68</v>
      </c>
      <c r="H334">
        <v>2</v>
      </c>
      <c r="I334">
        <v>0</v>
      </c>
      <c r="J334">
        <v>20</v>
      </c>
      <c r="K334" t="s">
        <v>18</v>
      </c>
      <c r="L334" s="1">
        <v>45273</v>
      </c>
    </row>
    <row r="335" spans="1:12" x14ac:dyDescent="0.3">
      <c r="A335" t="s">
        <v>1294</v>
      </c>
      <c r="B335" t="s">
        <v>1296</v>
      </c>
      <c r="C335" t="s">
        <v>2004</v>
      </c>
      <c r="D335" t="s">
        <v>134</v>
      </c>
      <c r="E335" t="s">
        <v>45</v>
      </c>
      <c r="F335" t="s">
        <v>163</v>
      </c>
      <c r="G335">
        <v>38</v>
      </c>
      <c r="H335">
        <v>1</v>
      </c>
      <c r="I335">
        <v>0</v>
      </c>
      <c r="J335">
        <v>14</v>
      </c>
      <c r="K335" t="s">
        <v>26</v>
      </c>
      <c r="L335" s="1"/>
    </row>
    <row r="336" spans="1:12" x14ac:dyDescent="0.3">
      <c r="A336" t="s">
        <v>1297</v>
      </c>
      <c r="B336" t="s">
        <v>1299</v>
      </c>
      <c r="C336" t="s">
        <v>133</v>
      </c>
      <c r="D336" t="s">
        <v>134</v>
      </c>
      <c r="E336" t="s">
        <v>32</v>
      </c>
      <c r="F336" t="s">
        <v>168</v>
      </c>
      <c r="G336">
        <v>78</v>
      </c>
      <c r="H336">
        <v>2</v>
      </c>
      <c r="I336">
        <v>0.1</v>
      </c>
      <c r="J336">
        <v>20</v>
      </c>
      <c r="K336" t="s">
        <v>18</v>
      </c>
      <c r="L336" s="1">
        <v>45275</v>
      </c>
    </row>
    <row r="337" spans="1:12" x14ac:dyDescent="0.3">
      <c r="A337" t="s">
        <v>1300</v>
      </c>
      <c r="B337" t="s">
        <v>1302</v>
      </c>
      <c r="C337" t="s">
        <v>133</v>
      </c>
      <c r="D337" t="s">
        <v>134</v>
      </c>
      <c r="E337" t="s">
        <v>16</v>
      </c>
      <c r="F337" t="s">
        <v>174</v>
      </c>
      <c r="G337">
        <v>43</v>
      </c>
      <c r="H337">
        <v>3</v>
      </c>
      <c r="I337">
        <v>0</v>
      </c>
      <c r="J337">
        <v>14</v>
      </c>
      <c r="K337" t="s">
        <v>26</v>
      </c>
      <c r="L337" s="1"/>
    </row>
    <row r="338" spans="1:12" x14ac:dyDescent="0.3">
      <c r="A338" t="s">
        <v>1303</v>
      </c>
      <c r="B338" t="s">
        <v>1976</v>
      </c>
      <c r="C338" t="s">
        <v>139</v>
      </c>
      <c r="D338" t="s">
        <v>140</v>
      </c>
      <c r="E338" t="s">
        <v>16</v>
      </c>
      <c r="F338" t="s">
        <v>17</v>
      </c>
      <c r="G338">
        <v>1280</v>
      </c>
      <c r="H338">
        <v>1</v>
      </c>
      <c r="I338">
        <v>0.1</v>
      </c>
      <c r="J338">
        <v>168</v>
      </c>
      <c r="K338" t="s">
        <v>18</v>
      </c>
      <c r="L338" s="1"/>
    </row>
    <row r="339" spans="1:12" x14ac:dyDescent="0.3">
      <c r="A339" t="s">
        <v>1306</v>
      </c>
      <c r="B339" t="s">
        <v>1977</v>
      </c>
      <c r="C339" t="s">
        <v>1309</v>
      </c>
      <c r="D339" t="s">
        <v>140</v>
      </c>
      <c r="E339" t="s">
        <v>45</v>
      </c>
      <c r="F339" t="s">
        <v>25</v>
      </c>
      <c r="G339">
        <v>34</v>
      </c>
      <c r="H339">
        <v>2</v>
      </c>
      <c r="I339">
        <v>0</v>
      </c>
      <c r="J339">
        <v>19</v>
      </c>
      <c r="K339" t="s">
        <v>26</v>
      </c>
      <c r="L339" s="1">
        <v>45278</v>
      </c>
    </row>
    <row r="340" spans="1:12" x14ac:dyDescent="0.3">
      <c r="A340" t="s">
        <v>1310</v>
      </c>
      <c r="B340" t="s">
        <v>1312</v>
      </c>
      <c r="C340" t="s">
        <v>2004</v>
      </c>
      <c r="D340" t="s">
        <v>140</v>
      </c>
      <c r="E340" t="s">
        <v>32</v>
      </c>
      <c r="F340" t="s">
        <v>33</v>
      </c>
      <c r="G340">
        <v>-590</v>
      </c>
      <c r="H340">
        <v>1</v>
      </c>
      <c r="I340">
        <v>0</v>
      </c>
      <c r="J340">
        <v>-68</v>
      </c>
      <c r="K340" t="s">
        <v>18</v>
      </c>
      <c r="L340" s="1">
        <v>45279</v>
      </c>
    </row>
    <row r="341" spans="1:12" x14ac:dyDescent="0.3">
      <c r="A341" t="s">
        <v>1313</v>
      </c>
      <c r="B341" t="s">
        <v>1978</v>
      </c>
      <c r="C341" t="s">
        <v>415</v>
      </c>
      <c r="D341" t="s">
        <v>140</v>
      </c>
      <c r="E341" t="s">
        <v>16</v>
      </c>
      <c r="F341" t="s">
        <v>39</v>
      </c>
      <c r="G341">
        <v>980</v>
      </c>
      <c r="H341">
        <v>1</v>
      </c>
      <c r="I341">
        <v>0.05</v>
      </c>
      <c r="J341">
        <v>128</v>
      </c>
      <c r="K341" t="s">
        <v>18</v>
      </c>
      <c r="L341" s="1"/>
    </row>
    <row r="342" spans="1:12" x14ac:dyDescent="0.3">
      <c r="A342" t="s">
        <v>1316</v>
      </c>
      <c r="B342" t="s">
        <v>1318</v>
      </c>
      <c r="C342" t="s">
        <v>1319</v>
      </c>
      <c r="D342" t="s">
        <v>140</v>
      </c>
      <c r="E342" t="s">
        <v>45</v>
      </c>
      <c r="F342" t="s">
        <v>46</v>
      </c>
      <c r="G342">
        <v>70</v>
      </c>
      <c r="H342">
        <v>3</v>
      </c>
      <c r="I342">
        <v>0</v>
      </c>
      <c r="J342">
        <v>33</v>
      </c>
      <c r="K342" t="s">
        <v>26</v>
      </c>
      <c r="L342" s="1"/>
    </row>
    <row r="343" spans="1:12" x14ac:dyDescent="0.3">
      <c r="A343" t="s">
        <v>1320</v>
      </c>
      <c r="B343" t="s">
        <v>1322</v>
      </c>
      <c r="C343" t="s">
        <v>1323</v>
      </c>
      <c r="D343" t="s">
        <v>140</v>
      </c>
      <c r="E343" t="s">
        <v>32</v>
      </c>
      <c r="F343" t="s">
        <v>53</v>
      </c>
      <c r="G343">
        <v>178</v>
      </c>
      <c r="H343">
        <v>4</v>
      </c>
      <c r="I343">
        <v>0.1</v>
      </c>
      <c r="J343">
        <v>36</v>
      </c>
      <c r="K343" t="s">
        <v>26</v>
      </c>
      <c r="L343" s="1">
        <v>45282</v>
      </c>
    </row>
    <row r="344" spans="1:12" x14ac:dyDescent="0.3">
      <c r="A344" t="s">
        <v>1324</v>
      </c>
      <c r="B344" t="s">
        <v>1326</v>
      </c>
      <c r="C344" t="s">
        <v>1327</v>
      </c>
      <c r="D344" t="s">
        <v>140</v>
      </c>
      <c r="E344" t="s">
        <v>16</v>
      </c>
      <c r="F344" t="s">
        <v>59</v>
      </c>
      <c r="G344">
        <v>328</v>
      </c>
      <c r="H344">
        <v>2</v>
      </c>
      <c r="I344">
        <v>0</v>
      </c>
      <c r="J344">
        <v>60</v>
      </c>
      <c r="K344" t="s">
        <v>18</v>
      </c>
      <c r="L344" s="1"/>
    </row>
    <row r="345" spans="1:12" x14ac:dyDescent="0.3">
      <c r="A345" t="s">
        <v>1328</v>
      </c>
      <c r="B345" t="s">
        <v>1330</v>
      </c>
      <c r="C345" t="s">
        <v>2004</v>
      </c>
      <c r="D345" t="s">
        <v>140</v>
      </c>
      <c r="E345" t="s">
        <v>45</v>
      </c>
      <c r="F345" t="s">
        <v>63</v>
      </c>
      <c r="G345">
        <v>98</v>
      </c>
      <c r="H345">
        <v>1</v>
      </c>
      <c r="I345">
        <v>0.2</v>
      </c>
      <c r="J345">
        <v>33</v>
      </c>
      <c r="K345" t="s">
        <v>26</v>
      </c>
      <c r="L345" s="1"/>
    </row>
    <row r="346" spans="1:12" x14ac:dyDescent="0.3">
      <c r="A346" t="s">
        <v>1331</v>
      </c>
      <c r="B346" t="s">
        <v>1333</v>
      </c>
      <c r="C346" t="s">
        <v>1334</v>
      </c>
      <c r="D346" t="s">
        <v>140</v>
      </c>
      <c r="E346" t="s">
        <v>32</v>
      </c>
      <c r="F346" t="s">
        <v>68</v>
      </c>
      <c r="G346">
        <v>1080</v>
      </c>
      <c r="H346">
        <v>1</v>
      </c>
      <c r="I346">
        <v>0.15</v>
      </c>
      <c r="J346">
        <v>128</v>
      </c>
      <c r="K346" t="s">
        <v>18</v>
      </c>
      <c r="L346" s="1">
        <v>45285</v>
      </c>
    </row>
    <row r="347" spans="1:12" hidden="1" x14ac:dyDescent="0.3">
      <c r="A347" t="s">
        <v>1335</v>
      </c>
      <c r="B347" t="s">
        <v>1337</v>
      </c>
      <c r="C347" t="s">
        <v>1338</v>
      </c>
      <c r="D347" t="s">
        <v>140</v>
      </c>
      <c r="E347" t="s">
        <v>16</v>
      </c>
      <c r="F347" t="s">
        <v>73</v>
      </c>
      <c r="G347">
        <v>128</v>
      </c>
      <c r="H347">
        <v>0</v>
      </c>
      <c r="I347">
        <v>0</v>
      </c>
      <c r="J347">
        <v>40</v>
      </c>
      <c r="K347" t="s">
        <v>26</v>
      </c>
      <c r="L347" s="1"/>
    </row>
    <row r="348" spans="1:12" hidden="1" x14ac:dyDescent="0.3">
      <c r="A348" t="s">
        <v>1339</v>
      </c>
      <c r="B348" t="s">
        <v>1341</v>
      </c>
      <c r="C348" t="s">
        <v>1342</v>
      </c>
      <c r="D348" t="s">
        <v>140</v>
      </c>
      <c r="E348" t="s">
        <v>45</v>
      </c>
      <c r="F348" t="s">
        <v>79</v>
      </c>
      <c r="G348">
        <v>148</v>
      </c>
      <c r="H348">
        <v>-1</v>
      </c>
      <c r="I348">
        <v>0</v>
      </c>
      <c r="J348">
        <v>50</v>
      </c>
      <c r="K348" t="s">
        <v>18</v>
      </c>
      <c r="L348" s="1"/>
    </row>
    <row r="349" spans="1:12" x14ac:dyDescent="0.3">
      <c r="A349" t="s">
        <v>1343</v>
      </c>
      <c r="B349" t="s">
        <v>1345</v>
      </c>
      <c r="C349" t="s">
        <v>1346</v>
      </c>
      <c r="D349" t="s">
        <v>140</v>
      </c>
      <c r="E349" t="s">
        <v>32</v>
      </c>
      <c r="F349" t="s">
        <v>84</v>
      </c>
      <c r="G349">
        <v>378</v>
      </c>
      <c r="H349">
        <v>1</v>
      </c>
      <c r="I349">
        <v>0.1</v>
      </c>
      <c r="J349">
        <v>60</v>
      </c>
      <c r="K349" t="s">
        <v>26</v>
      </c>
      <c r="L349" s="1">
        <v>45288</v>
      </c>
    </row>
    <row r="350" spans="1:12" x14ac:dyDescent="0.3">
      <c r="A350" t="s">
        <v>1347</v>
      </c>
      <c r="B350" t="s">
        <v>1349</v>
      </c>
      <c r="C350" t="s">
        <v>1350</v>
      </c>
      <c r="D350" t="s">
        <v>140</v>
      </c>
      <c r="E350" t="s">
        <v>16</v>
      </c>
      <c r="F350" t="s">
        <v>89</v>
      </c>
      <c r="G350">
        <v>278</v>
      </c>
      <c r="H350">
        <v>2</v>
      </c>
      <c r="I350">
        <v>0.05</v>
      </c>
      <c r="J350">
        <v>50</v>
      </c>
      <c r="K350" t="s">
        <v>18</v>
      </c>
      <c r="L350" s="1">
        <v>45289</v>
      </c>
    </row>
    <row r="351" spans="1:12" x14ac:dyDescent="0.3">
      <c r="A351" t="s">
        <v>1351</v>
      </c>
      <c r="B351" t="s">
        <v>1353</v>
      </c>
      <c r="C351" t="s">
        <v>1354</v>
      </c>
      <c r="D351" t="s">
        <v>140</v>
      </c>
      <c r="E351" t="s">
        <v>45</v>
      </c>
      <c r="F351" t="s">
        <v>95</v>
      </c>
      <c r="G351">
        <v>178</v>
      </c>
      <c r="H351">
        <v>1</v>
      </c>
      <c r="I351">
        <v>0</v>
      </c>
      <c r="J351">
        <v>45</v>
      </c>
      <c r="K351" t="s">
        <v>26</v>
      </c>
      <c r="L351" s="1"/>
    </row>
    <row r="352" spans="1:12" x14ac:dyDescent="0.3">
      <c r="A352" t="s">
        <v>1355</v>
      </c>
      <c r="B352" t="s">
        <v>1357</v>
      </c>
      <c r="C352" t="s">
        <v>1358</v>
      </c>
      <c r="D352" t="s">
        <v>140</v>
      </c>
      <c r="E352" t="s">
        <v>32</v>
      </c>
      <c r="F352" t="s">
        <v>100</v>
      </c>
      <c r="G352">
        <v>228</v>
      </c>
      <c r="H352">
        <v>1</v>
      </c>
      <c r="I352">
        <v>0.1</v>
      </c>
      <c r="J352">
        <v>40</v>
      </c>
      <c r="K352" t="s">
        <v>18</v>
      </c>
      <c r="L352" s="1"/>
    </row>
    <row r="353" spans="1:12" x14ac:dyDescent="0.3">
      <c r="A353" t="s">
        <v>1359</v>
      </c>
      <c r="B353" t="s">
        <v>1361</v>
      </c>
      <c r="C353" t="s">
        <v>1362</v>
      </c>
      <c r="D353" t="s">
        <v>140</v>
      </c>
      <c r="E353" t="s">
        <v>16</v>
      </c>
      <c r="F353" t="s">
        <v>106</v>
      </c>
      <c r="G353">
        <v>228</v>
      </c>
      <c r="H353">
        <v>1</v>
      </c>
      <c r="I353">
        <v>0</v>
      </c>
      <c r="J353">
        <v>60</v>
      </c>
      <c r="K353" t="s">
        <v>26</v>
      </c>
      <c r="L353" s="1">
        <v>45292</v>
      </c>
    </row>
    <row r="354" spans="1:12" x14ac:dyDescent="0.3">
      <c r="A354" t="s">
        <v>1363</v>
      </c>
      <c r="B354" t="s">
        <v>1365</v>
      </c>
      <c r="C354" t="s">
        <v>1366</v>
      </c>
      <c r="D354" t="s">
        <v>140</v>
      </c>
      <c r="E354" t="s">
        <v>45</v>
      </c>
      <c r="F354" t="s">
        <v>112</v>
      </c>
      <c r="G354">
        <v>80</v>
      </c>
      <c r="H354">
        <v>2</v>
      </c>
      <c r="I354">
        <v>0.1</v>
      </c>
      <c r="J354">
        <v>21</v>
      </c>
      <c r="K354" t="s">
        <v>18</v>
      </c>
      <c r="L354" s="1">
        <v>45323</v>
      </c>
    </row>
    <row r="355" spans="1:12" x14ac:dyDescent="0.3">
      <c r="A355" t="s">
        <v>1367</v>
      </c>
      <c r="B355" t="s">
        <v>1369</v>
      </c>
      <c r="C355" t="s">
        <v>2004</v>
      </c>
      <c r="D355" t="s">
        <v>140</v>
      </c>
      <c r="E355" t="s">
        <v>32</v>
      </c>
      <c r="F355" t="s">
        <v>117</v>
      </c>
      <c r="G355">
        <v>1200</v>
      </c>
      <c r="H355">
        <v>1</v>
      </c>
      <c r="I355">
        <v>0.2</v>
      </c>
      <c r="J355">
        <v>178</v>
      </c>
      <c r="K355" t="s">
        <v>26</v>
      </c>
      <c r="L355" s="1">
        <v>45352</v>
      </c>
    </row>
    <row r="356" spans="1:12" x14ac:dyDescent="0.3">
      <c r="A356" t="s">
        <v>1370</v>
      </c>
      <c r="B356" t="s">
        <v>1372</v>
      </c>
      <c r="C356" t="s">
        <v>1373</v>
      </c>
      <c r="D356" t="s">
        <v>140</v>
      </c>
      <c r="E356" t="s">
        <v>16</v>
      </c>
      <c r="F356" t="s">
        <v>123</v>
      </c>
      <c r="G356">
        <v>800</v>
      </c>
      <c r="H356">
        <v>1</v>
      </c>
      <c r="I356">
        <v>0</v>
      </c>
      <c r="J356">
        <v>108</v>
      </c>
      <c r="K356" t="s">
        <v>18</v>
      </c>
      <c r="L356" s="1">
        <v>45295</v>
      </c>
    </row>
    <row r="357" spans="1:12" x14ac:dyDescent="0.3">
      <c r="A357" t="s">
        <v>1374</v>
      </c>
      <c r="B357" t="s">
        <v>1376</v>
      </c>
      <c r="C357" t="s">
        <v>1377</v>
      </c>
      <c r="D357" t="s">
        <v>140</v>
      </c>
      <c r="E357" t="s">
        <v>45</v>
      </c>
      <c r="F357" t="s">
        <v>129</v>
      </c>
      <c r="G357">
        <v>50</v>
      </c>
      <c r="H357">
        <v>3</v>
      </c>
      <c r="I357">
        <v>0</v>
      </c>
      <c r="J357">
        <v>15</v>
      </c>
      <c r="K357" t="s">
        <v>26</v>
      </c>
      <c r="L357" s="1">
        <v>45296</v>
      </c>
    </row>
    <row r="358" spans="1:12" x14ac:dyDescent="0.3">
      <c r="A358" t="s">
        <v>1378</v>
      </c>
      <c r="B358" t="s">
        <v>1380</v>
      </c>
      <c r="C358" t="s">
        <v>1381</v>
      </c>
      <c r="D358" t="s">
        <v>140</v>
      </c>
      <c r="E358" t="s">
        <v>32</v>
      </c>
      <c r="F358" t="s">
        <v>135</v>
      </c>
      <c r="G358">
        <v>-500</v>
      </c>
      <c r="H358">
        <v>1</v>
      </c>
      <c r="I358">
        <v>0</v>
      </c>
      <c r="J358">
        <v>-40</v>
      </c>
      <c r="K358" t="s">
        <v>18</v>
      </c>
      <c r="L358" s="1">
        <v>45444</v>
      </c>
    </row>
    <row r="359" spans="1:12" x14ac:dyDescent="0.3">
      <c r="A359" t="s">
        <v>1382</v>
      </c>
      <c r="B359" t="s">
        <v>1979</v>
      </c>
      <c r="C359" t="s">
        <v>1385</v>
      </c>
      <c r="D359" t="s">
        <v>140</v>
      </c>
      <c r="E359" t="s">
        <v>16</v>
      </c>
      <c r="F359" t="s">
        <v>141</v>
      </c>
      <c r="G359">
        <v>100</v>
      </c>
      <c r="H359">
        <v>2</v>
      </c>
      <c r="I359">
        <v>0.1</v>
      </c>
      <c r="J359">
        <v>33</v>
      </c>
      <c r="K359" t="s">
        <v>26</v>
      </c>
      <c r="L359" s="1">
        <v>45298</v>
      </c>
    </row>
    <row r="360" spans="1:12" x14ac:dyDescent="0.3">
      <c r="A360" t="s">
        <v>1386</v>
      </c>
      <c r="B360" t="s">
        <v>1388</v>
      </c>
      <c r="C360" t="s">
        <v>1389</v>
      </c>
      <c r="D360" t="s">
        <v>140</v>
      </c>
      <c r="E360" t="s">
        <v>45</v>
      </c>
      <c r="F360" t="s">
        <v>146</v>
      </c>
      <c r="G360">
        <v>33</v>
      </c>
      <c r="H360">
        <v>5</v>
      </c>
      <c r="I360">
        <v>0</v>
      </c>
      <c r="J360">
        <v>15</v>
      </c>
      <c r="K360" t="s">
        <v>18</v>
      </c>
      <c r="L360" s="1">
        <v>45505</v>
      </c>
    </row>
    <row r="361" spans="1:12" x14ac:dyDescent="0.3">
      <c r="A361" t="s">
        <v>1390</v>
      </c>
      <c r="B361" t="s">
        <v>1392</v>
      </c>
      <c r="C361" t="s">
        <v>1393</v>
      </c>
      <c r="D361" t="s">
        <v>140</v>
      </c>
      <c r="E361" t="s">
        <v>32</v>
      </c>
      <c r="F361" t="s">
        <v>152</v>
      </c>
      <c r="G361">
        <v>60</v>
      </c>
      <c r="H361">
        <v>4</v>
      </c>
      <c r="I361">
        <v>0</v>
      </c>
      <c r="J361">
        <v>21</v>
      </c>
      <c r="K361" t="s">
        <v>26</v>
      </c>
      <c r="L361" s="1">
        <v>45300</v>
      </c>
    </row>
    <row r="362" spans="1:12" x14ac:dyDescent="0.3">
      <c r="A362" t="s">
        <v>1394</v>
      </c>
      <c r="B362" t="s">
        <v>1396</v>
      </c>
      <c r="C362" t="s">
        <v>1397</v>
      </c>
      <c r="D362" t="s">
        <v>140</v>
      </c>
      <c r="E362" t="s">
        <v>16</v>
      </c>
      <c r="F362" t="s">
        <v>158</v>
      </c>
      <c r="G362">
        <v>70</v>
      </c>
      <c r="H362">
        <v>2</v>
      </c>
      <c r="I362">
        <v>0</v>
      </c>
      <c r="J362">
        <v>21</v>
      </c>
      <c r="K362" t="s">
        <v>18</v>
      </c>
      <c r="L362" s="1">
        <v>45301</v>
      </c>
    </row>
    <row r="363" spans="1:12" x14ac:dyDescent="0.3">
      <c r="A363" t="s">
        <v>1398</v>
      </c>
      <c r="B363" t="s">
        <v>1400</v>
      </c>
      <c r="C363" t="s">
        <v>2004</v>
      </c>
      <c r="D363" t="s">
        <v>140</v>
      </c>
      <c r="E363" t="s">
        <v>45</v>
      </c>
      <c r="F363" t="s">
        <v>163</v>
      </c>
      <c r="G363">
        <v>40</v>
      </c>
      <c r="H363">
        <v>1</v>
      </c>
      <c r="I363">
        <v>0</v>
      </c>
      <c r="J363">
        <v>15</v>
      </c>
      <c r="K363" t="s">
        <v>26</v>
      </c>
      <c r="L363" s="1">
        <v>45597</v>
      </c>
    </row>
    <row r="364" spans="1:12" x14ac:dyDescent="0.3">
      <c r="A364" t="s">
        <v>1401</v>
      </c>
      <c r="B364" t="s">
        <v>1403</v>
      </c>
      <c r="C364" t="s">
        <v>1404</v>
      </c>
      <c r="D364" t="s">
        <v>140</v>
      </c>
      <c r="E364" t="s">
        <v>32</v>
      </c>
      <c r="F364" t="s">
        <v>168</v>
      </c>
      <c r="G364">
        <v>80</v>
      </c>
      <c r="H364">
        <v>2</v>
      </c>
      <c r="I364">
        <v>0.1</v>
      </c>
      <c r="J364">
        <v>21</v>
      </c>
      <c r="K364" t="s">
        <v>18</v>
      </c>
      <c r="L364" s="1">
        <v>45303</v>
      </c>
    </row>
    <row r="365" spans="1:12" x14ac:dyDescent="0.3">
      <c r="A365" t="s">
        <v>1405</v>
      </c>
      <c r="B365" t="s">
        <v>1980</v>
      </c>
      <c r="C365" t="s">
        <v>1408</v>
      </c>
      <c r="D365" t="s">
        <v>140</v>
      </c>
      <c r="E365" t="s">
        <v>16</v>
      </c>
      <c r="F365" t="s">
        <v>174</v>
      </c>
      <c r="G365">
        <v>45</v>
      </c>
      <c r="H365">
        <v>3</v>
      </c>
      <c r="I365">
        <v>0</v>
      </c>
      <c r="J365">
        <v>15</v>
      </c>
      <c r="K365" t="s">
        <v>26</v>
      </c>
      <c r="L365" s="1">
        <v>45304</v>
      </c>
    </row>
    <row r="366" spans="1:12" x14ac:dyDescent="0.3">
      <c r="A366" t="s">
        <v>1409</v>
      </c>
      <c r="B366" t="s">
        <v>1981</v>
      </c>
      <c r="C366" t="s">
        <v>156</v>
      </c>
      <c r="D366" t="s">
        <v>157</v>
      </c>
      <c r="E366" t="s">
        <v>16</v>
      </c>
      <c r="F366" t="s">
        <v>17</v>
      </c>
      <c r="G366">
        <v>1290</v>
      </c>
      <c r="H366">
        <v>1</v>
      </c>
      <c r="I366">
        <v>0.1</v>
      </c>
      <c r="J366">
        <v>170</v>
      </c>
      <c r="K366" t="s">
        <v>18</v>
      </c>
      <c r="L366" s="1">
        <v>45305</v>
      </c>
    </row>
    <row r="367" spans="1:12" x14ac:dyDescent="0.3">
      <c r="A367" t="s">
        <v>1412</v>
      </c>
      <c r="B367" t="s">
        <v>1982</v>
      </c>
      <c r="C367" t="s">
        <v>1415</v>
      </c>
      <c r="D367" t="s">
        <v>157</v>
      </c>
      <c r="E367" t="s">
        <v>45</v>
      </c>
      <c r="F367" t="s">
        <v>25</v>
      </c>
      <c r="G367">
        <v>35</v>
      </c>
      <c r="H367">
        <v>2</v>
      </c>
      <c r="I367">
        <v>0</v>
      </c>
      <c r="J367">
        <v>20</v>
      </c>
      <c r="K367" t="s">
        <v>26</v>
      </c>
      <c r="L367" s="1">
        <v>45306</v>
      </c>
    </row>
    <row r="368" spans="1:12" x14ac:dyDescent="0.3">
      <c r="A368" t="s">
        <v>1416</v>
      </c>
      <c r="B368" t="s">
        <v>1418</v>
      </c>
      <c r="C368" t="s">
        <v>2004</v>
      </c>
      <c r="D368" t="s">
        <v>157</v>
      </c>
      <c r="E368" t="s">
        <v>32</v>
      </c>
      <c r="F368" t="s">
        <v>33</v>
      </c>
      <c r="G368">
        <v>-600</v>
      </c>
      <c r="H368">
        <v>1</v>
      </c>
      <c r="I368">
        <v>0</v>
      </c>
      <c r="J368">
        <v>-70</v>
      </c>
      <c r="K368" t="s">
        <v>18</v>
      </c>
      <c r="L368" s="1">
        <v>45307</v>
      </c>
    </row>
    <row r="369" spans="1:12" x14ac:dyDescent="0.3">
      <c r="A369" t="s">
        <v>1419</v>
      </c>
      <c r="B369" t="s">
        <v>1983</v>
      </c>
      <c r="C369" t="s">
        <v>904</v>
      </c>
      <c r="D369" t="s">
        <v>157</v>
      </c>
      <c r="E369" t="s">
        <v>16</v>
      </c>
      <c r="F369" t="s">
        <v>39</v>
      </c>
      <c r="G369">
        <v>1000</v>
      </c>
      <c r="H369">
        <v>1</v>
      </c>
      <c r="I369">
        <v>0.05</v>
      </c>
      <c r="J369">
        <v>130</v>
      </c>
      <c r="K369" t="s">
        <v>18</v>
      </c>
      <c r="L369" s="1">
        <v>45308</v>
      </c>
    </row>
    <row r="370" spans="1:12" x14ac:dyDescent="0.3">
      <c r="A370" t="s">
        <v>1422</v>
      </c>
      <c r="B370" t="s">
        <v>1984</v>
      </c>
      <c r="C370" t="s">
        <v>1425</v>
      </c>
      <c r="D370" t="s">
        <v>157</v>
      </c>
      <c r="E370" t="s">
        <v>45</v>
      </c>
      <c r="F370" t="s">
        <v>46</v>
      </c>
      <c r="G370">
        <v>72</v>
      </c>
      <c r="H370">
        <v>3</v>
      </c>
      <c r="I370">
        <v>0</v>
      </c>
      <c r="J370">
        <v>35</v>
      </c>
      <c r="K370" t="s">
        <v>26</v>
      </c>
      <c r="L370" s="1">
        <v>45309</v>
      </c>
    </row>
    <row r="371" spans="1:12" x14ac:dyDescent="0.3">
      <c r="A371" t="s">
        <v>1426</v>
      </c>
      <c r="B371" t="s">
        <v>1428</v>
      </c>
      <c r="C371" t="s">
        <v>1429</v>
      </c>
      <c r="D371" t="s">
        <v>157</v>
      </c>
      <c r="E371" t="s">
        <v>32</v>
      </c>
      <c r="F371" t="s">
        <v>53</v>
      </c>
      <c r="G371">
        <v>180</v>
      </c>
      <c r="H371">
        <v>4</v>
      </c>
      <c r="I371">
        <v>0.1</v>
      </c>
      <c r="J371">
        <v>38</v>
      </c>
      <c r="K371" t="s">
        <v>26</v>
      </c>
      <c r="L371" s="1">
        <v>45310</v>
      </c>
    </row>
    <row r="372" spans="1:12" x14ac:dyDescent="0.3">
      <c r="A372" t="s">
        <v>1430</v>
      </c>
      <c r="B372" t="s">
        <v>1432</v>
      </c>
      <c r="C372" t="s">
        <v>1433</v>
      </c>
      <c r="D372" t="s">
        <v>157</v>
      </c>
      <c r="E372" t="s">
        <v>16</v>
      </c>
      <c r="F372" t="s">
        <v>59</v>
      </c>
      <c r="G372">
        <v>330</v>
      </c>
      <c r="H372">
        <v>2</v>
      </c>
      <c r="I372">
        <v>0</v>
      </c>
      <c r="J372">
        <v>62</v>
      </c>
      <c r="K372" t="s">
        <v>18</v>
      </c>
      <c r="L372" s="1">
        <v>45311</v>
      </c>
    </row>
    <row r="373" spans="1:12" x14ac:dyDescent="0.3">
      <c r="A373" t="s">
        <v>1434</v>
      </c>
      <c r="B373" t="s">
        <v>1436</v>
      </c>
      <c r="C373" t="s">
        <v>2004</v>
      </c>
      <c r="D373" t="s">
        <v>157</v>
      </c>
      <c r="E373" t="s">
        <v>45</v>
      </c>
      <c r="F373" t="s">
        <v>63</v>
      </c>
      <c r="G373">
        <v>100</v>
      </c>
      <c r="H373">
        <v>1</v>
      </c>
      <c r="I373">
        <v>0.2</v>
      </c>
      <c r="J373">
        <v>35</v>
      </c>
      <c r="K373" t="s">
        <v>26</v>
      </c>
      <c r="L373" s="1">
        <v>45312</v>
      </c>
    </row>
    <row r="374" spans="1:12" x14ac:dyDescent="0.3">
      <c r="A374" t="s">
        <v>1437</v>
      </c>
      <c r="B374" t="s">
        <v>1439</v>
      </c>
      <c r="C374" t="s">
        <v>1440</v>
      </c>
      <c r="D374" t="s">
        <v>157</v>
      </c>
      <c r="E374" t="s">
        <v>32</v>
      </c>
      <c r="F374" t="s">
        <v>68</v>
      </c>
      <c r="G374">
        <v>1100</v>
      </c>
      <c r="H374">
        <v>1</v>
      </c>
      <c r="I374">
        <v>0.15</v>
      </c>
      <c r="J374">
        <v>130</v>
      </c>
      <c r="K374" t="s">
        <v>18</v>
      </c>
      <c r="L374" s="1">
        <v>45313</v>
      </c>
    </row>
    <row r="375" spans="1:12" hidden="1" x14ac:dyDescent="0.3">
      <c r="A375" t="s">
        <v>1441</v>
      </c>
      <c r="B375" t="s">
        <v>1443</v>
      </c>
      <c r="C375" t="s">
        <v>837</v>
      </c>
      <c r="D375" t="s">
        <v>157</v>
      </c>
      <c r="E375" t="s">
        <v>16</v>
      </c>
      <c r="F375" t="s">
        <v>73</v>
      </c>
      <c r="G375">
        <v>130</v>
      </c>
      <c r="H375">
        <v>0</v>
      </c>
      <c r="I375">
        <v>0</v>
      </c>
      <c r="J375">
        <v>42</v>
      </c>
      <c r="K375" t="s">
        <v>26</v>
      </c>
      <c r="L375" s="1">
        <v>45314</v>
      </c>
    </row>
    <row r="376" spans="1:12" hidden="1" x14ac:dyDescent="0.3">
      <c r="A376" t="s">
        <v>1444</v>
      </c>
      <c r="B376" t="s">
        <v>1446</v>
      </c>
      <c r="C376" t="s">
        <v>1447</v>
      </c>
      <c r="D376" t="s">
        <v>157</v>
      </c>
      <c r="E376" t="s">
        <v>45</v>
      </c>
      <c r="F376" t="s">
        <v>79</v>
      </c>
      <c r="G376">
        <v>150</v>
      </c>
      <c r="H376">
        <v>-1</v>
      </c>
      <c r="I376">
        <v>0</v>
      </c>
      <c r="J376">
        <v>52</v>
      </c>
      <c r="K376" t="s">
        <v>18</v>
      </c>
      <c r="L376" s="1">
        <v>45315</v>
      </c>
    </row>
    <row r="377" spans="1:12" x14ac:dyDescent="0.3">
      <c r="A377" t="s">
        <v>1448</v>
      </c>
      <c r="B377" t="s">
        <v>1450</v>
      </c>
      <c r="C377" t="s">
        <v>1451</v>
      </c>
      <c r="D377" t="s">
        <v>157</v>
      </c>
      <c r="E377" t="s">
        <v>32</v>
      </c>
      <c r="F377" t="s">
        <v>84</v>
      </c>
      <c r="G377">
        <v>380</v>
      </c>
      <c r="H377">
        <v>1</v>
      </c>
      <c r="I377">
        <v>0.1</v>
      </c>
      <c r="J377">
        <v>62</v>
      </c>
      <c r="K377" t="s">
        <v>26</v>
      </c>
      <c r="L377" s="1">
        <v>45316</v>
      </c>
    </row>
    <row r="378" spans="1:12" x14ac:dyDescent="0.3">
      <c r="A378" t="s">
        <v>1452</v>
      </c>
      <c r="B378" t="s">
        <v>1985</v>
      </c>
      <c r="C378" t="s">
        <v>1455</v>
      </c>
      <c r="D378" t="s">
        <v>157</v>
      </c>
      <c r="E378" t="s">
        <v>16</v>
      </c>
      <c r="F378" t="s">
        <v>89</v>
      </c>
      <c r="G378">
        <v>280</v>
      </c>
      <c r="H378">
        <v>2</v>
      </c>
      <c r="I378">
        <v>0.05</v>
      </c>
      <c r="J378">
        <v>52</v>
      </c>
      <c r="K378" t="s">
        <v>18</v>
      </c>
      <c r="L378" s="1">
        <v>45317</v>
      </c>
    </row>
    <row r="379" spans="1:12" x14ac:dyDescent="0.3">
      <c r="A379" t="s">
        <v>1456</v>
      </c>
      <c r="B379" t="s">
        <v>1458</v>
      </c>
      <c r="C379" t="s">
        <v>1459</v>
      </c>
      <c r="D379" t="s">
        <v>157</v>
      </c>
      <c r="E379" t="s">
        <v>45</v>
      </c>
      <c r="F379" t="s">
        <v>95</v>
      </c>
      <c r="G379">
        <v>180</v>
      </c>
      <c r="H379">
        <v>1</v>
      </c>
      <c r="I379">
        <v>0</v>
      </c>
      <c r="J379">
        <v>47</v>
      </c>
      <c r="K379" t="s">
        <v>26</v>
      </c>
      <c r="L379" s="1">
        <v>45318</v>
      </c>
    </row>
    <row r="380" spans="1:12" x14ac:dyDescent="0.3">
      <c r="A380" t="s">
        <v>1460</v>
      </c>
      <c r="B380" t="s">
        <v>1462</v>
      </c>
      <c r="C380" t="s">
        <v>1463</v>
      </c>
      <c r="D380" t="s">
        <v>157</v>
      </c>
      <c r="E380" t="s">
        <v>32</v>
      </c>
      <c r="F380" t="s">
        <v>100</v>
      </c>
      <c r="G380">
        <v>230</v>
      </c>
      <c r="H380">
        <v>1</v>
      </c>
      <c r="I380">
        <v>0.1</v>
      </c>
      <c r="J380">
        <v>42</v>
      </c>
      <c r="K380" t="s">
        <v>18</v>
      </c>
      <c r="L380" s="1">
        <v>45319</v>
      </c>
    </row>
    <row r="381" spans="1:12" x14ac:dyDescent="0.3">
      <c r="A381" t="s">
        <v>1464</v>
      </c>
      <c r="B381" t="s">
        <v>1466</v>
      </c>
      <c r="C381" t="s">
        <v>1467</v>
      </c>
      <c r="D381" t="s">
        <v>157</v>
      </c>
      <c r="E381" t="s">
        <v>16</v>
      </c>
      <c r="F381" t="s">
        <v>106</v>
      </c>
      <c r="G381">
        <v>230</v>
      </c>
      <c r="H381">
        <v>1</v>
      </c>
      <c r="I381">
        <v>0</v>
      </c>
      <c r="J381">
        <v>62</v>
      </c>
      <c r="K381" t="s">
        <v>26</v>
      </c>
      <c r="L381" s="1">
        <v>45320</v>
      </c>
    </row>
    <row r="382" spans="1:12" x14ac:dyDescent="0.3">
      <c r="A382" t="s">
        <v>1468</v>
      </c>
      <c r="B382" t="s">
        <v>1470</v>
      </c>
      <c r="C382" t="s">
        <v>1471</v>
      </c>
      <c r="D382" t="s">
        <v>157</v>
      </c>
      <c r="E382" t="s">
        <v>45</v>
      </c>
      <c r="F382" t="s">
        <v>112</v>
      </c>
      <c r="G382">
        <v>82</v>
      </c>
      <c r="H382">
        <v>2</v>
      </c>
      <c r="I382">
        <v>0.1</v>
      </c>
      <c r="J382">
        <v>22</v>
      </c>
      <c r="K382" t="s">
        <v>18</v>
      </c>
      <c r="L382" s="1">
        <v>45321</v>
      </c>
    </row>
    <row r="383" spans="1:12" x14ac:dyDescent="0.3">
      <c r="A383" t="s">
        <v>1472</v>
      </c>
      <c r="B383" t="s">
        <v>1098</v>
      </c>
      <c r="C383" t="s">
        <v>2004</v>
      </c>
      <c r="D383" t="s">
        <v>157</v>
      </c>
      <c r="E383" t="s">
        <v>32</v>
      </c>
      <c r="F383" t="s">
        <v>117</v>
      </c>
      <c r="G383">
        <v>1220</v>
      </c>
      <c r="H383">
        <v>1</v>
      </c>
      <c r="I383">
        <v>0.2</v>
      </c>
      <c r="J383">
        <v>180</v>
      </c>
      <c r="K383" t="s">
        <v>26</v>
      </c>
      <c r="L383" s="1">
        <v>45322</v>
      </c>
    </row>
    <row r="384" spans="1:12" x14ac:dyDescent="0.3">
      <c r="A384" t="s">
        <v>1474</v>
      </c>
      <c r="B384" t="s">
        <v>1476</v>
      </c>
      <c r="C384" t="s">
        <v>1477</v>
      </c>
      <c r="D384" t="s">
        <v>157</v>
      </c>
      <c r="E384" t="s">
        <v>16</v>
      </c>
      <c r="F384" t="s">
        <v>123</v>
      </c>
      <c r="G384">
        <v>820</v>
      </c>
      <c r="H384">
        <v>1</v>
      </c>
      <c r="I384">
        <v>0</v>
      </c>
      <c r="J384">
        <v>110</v>
      </c>
      <c r="K384" t="s">
        <v>18</v>
      </c>
      <c r="L384" s="1">
        <v>45323</v>
      </c>
    </row>
    <row r="385" spans="1:12" x14ac:dyDescent="0.3">
      <c r="A385" t="s">
        <v>1478</v>
      </c>
      <c r="B385" t="s">
        <v>1480</v>
      </c>
      <c r="C385" t="s">
        <v>1481</v>
      </c>
      <c r="D385" t="s">
        <v>157</v>
      </c>
      <c r="E385" t="s">
        <v>45</v>
      </c>
      <c r="F385" t="s">
        <v>129</v>
      </c>
      <c r="G385">
        <v>52</v>
      </c>
      <c r="H385">
        <v>3</v>
      </c>
      <c r="I385">
        <v>0</v>
      </c>
      <c r="J385">
        <v>16</v>
      </c>
      <c r="K385" t="s">
        <v>26</v>
      </c>
      <c r="L385" s="1">
        <v>45324</v>
      </c>
    </row>
    <row r="386" spans="1:12" x14ac:dyDescent="0.3">
      <c r="A386" t="s">
        <v>1482</v>
      </c>
      <c r="B386" t="s">
        <v>1484</v>
      </c>
      <c r="C386" t="s">
        <v>1485</v>
      </c>
      <c r="D386" t="s">
        <v>157</v>
      </c>
      <c r="E386" t="s">
        <v>32</v>
      </c>
      <c r="F386" t="s">
        <v>135</v>
      </c>
      <c r="G386">
        <v>-520</v>
      </c>
      <c r="H386">
        <v>1</v>
      </c>
      <c r="I386">
        <v>0</v>
      </c>
      <c r="J386">
        <v>-42</v>
      </c>
      <c r="K386" t="s">
        <v>18</v>
      </c>
      <c r="L386" s="1">
        <v>45353</v>
      </c>
    </row>
    <row r="387" spans="1:12" x14ac:dyDescent="0.3">
      <c r="A387" t="s">
        <v>1486</v>
      </c>
      <c r="B387" t="s">
        <v>1986</v>
      </c>
      <c r="C387" t="s">
        <v>1489</v>
      </c>
      <c r="D387" t="s">
        <v>157</v>
      </c>
      <c r="E387" t="s">
        <v>16</v>
      </c>
      <c r="F387" t="s">
        <v>141</v>
      </c>
      <c r="G387">
        <v>102</v>
      </c>
      <c r="H387">
        <v>2</v>
      </c>
      <c r="I387">
        <v>0.1</v>
      </c>
      <c r="J387">
        <v>35</v>
      </c>
      <c r="K387" t="s">
        <v>26</v>
      </c>
      <c r="L387" s="1">
        <v>45326</v>
      </c>
    </row>
    <row r="388" spans="1:12" x14ac:dyDescent="0.3">
      <c r="A388" t="s">
        <v>1490</v>
      </c>
      <c r="B388" t="s">
        <v>1492</v>
      </c>
      <c r="C388" t="s">
        <v>1493</v>
      </c>
      <c r="D388" t="s">
        <v>157</v>
      </c>
      <c r="E388" t="s">
        <v>45</v>
      </c>
      <c r="F388" t="s">
        <v>146</v>
      </c>
      <c r="G388">
        <v>35</v>
      </c>
      <c r="H388">
        <v>5</v>
      </c>
      <c r="I388">
        <v>0</v>
      </c>
      <c r="J388">
        <v>16</v>
      </c>
      <c r="K388" t="s">
        <v>18</v>
      </c>
      <c r="L388" s="1">
        <v>45414</v>
      </c>
    </row>
    <row r="389" spans="1:12" x14ac:dyDescent="0.3">
      <c r="A389" t="s">
        <v>1494</v>
      </c>
      <c r="B389" t="s">
        <v>1496</v>
      </c>
      <c r="C389" t="s">
        <v>1497</v>
      </c>
      <c r="D389" t="s">
        <v>157</v>
      </c>
      <c r="E389" t="s">
        <v>32</v>
      </c>
      <c r="F389" t="s">
        <v>152</v>
      </c>
      <c r="G389">
        <v>62</v>
      </c>
      <c r="H389">
        <v>4</v>
      </c>
      <c r="I389">
        <v>0</v>
      </c>
      <c r="J389">
        <v>22</v>
      </c>
      <c r="K389" t="s">
        <v>26</v>
      </c>
      <c r="L389" s="1">
        <v>45328</v>
      </c>
    </row>
    <row r="390" spans="1:12" x14ac:dyDescent="0.3">
      <c r="A390" t="s">
        <v>1498</v>
      </c>
      <c r="B390" t="s">
        <v>1500</v>
      </c>
      <c r="C390" t="s">
        <v>1501</v>
      </c>
      <c r="D390" t="s">
        <v>157</v>
      </c>
      <c r="E390" t="s">
        <v>16</v>
      </c>
      <c r="F390" t="s">
        <v>158</v>
      </c>
      <c r="G390">
        <v>72</v>
      </c>
      <c r="H390">
        <v>2</v>
      </c>
      <c r="I390">
        <v>0</v>
      </c>
      <c r="J390">
        <v>22</v>
      </c>
      <c r="K390" t="s">
        <v>18</v>
      </c>
      <c r="L390" s="1">
        <v>45329</v>
      </c>
    </row>
    <row r="391" spans="1:12" x14ac:dyDescent="0.3">
      <c r="A391" t="s">
        <v>1502</v>
      </c>
      <c r="B391" t="s">
        <v>1504</v>
      </c>
      <c r="C391" t="s">
        <v>2004</v>
      </c>
      <c r="D391" t="s">
        <v>157</v>
      </c>
      <c r="E391" t="s">
        <v>45</v>
      </c>
      <c r="F391" t="s">
        <v>163</v>
      </c>
      <c r="G391">
        <v>42</v>
      </c>
      <c r="H391">
        <v>1</v>
      </c>
      <c r="I391">
        <v>0</v>
      </c>
      <c r="J391">
        <v>16</v>
      </c>
      <c r="K391" t="s">
        <v>26</v>
      </c>
      <c r="L391" s="1">
        <v>45506</v>
      </c>
    </row>
    <row r="392" spans="1:12" x14ac:dyDescent="0.3">
      <c r="A392" t="s">
        <v>1505</v>
      </c>
      <c r="B392" t="s">
        <v>1507</v>
      </c>
      <c r="C392" t="s">
        <v>1508</v>
      </c>
      <c r="D392" t="s">
        <v>157</v>
      </c>
      <c r="E392" t="s">
        <v>32</v>
      </c>
      <c r="F392" t="s">
        <v>168</v>
      </c>
      <c r="G392">
        <v>82</v>
      </c>
      <c r="H392">
        <v>2</v>
      </c>
      <c r="I392">
        <v>0.1</v>
      </c>
      <c r="J392">
        <v>22</v>
      </c>
      <c r="K392" t="s">
        <v>18</v>
      </c>
      <c r="L392" s="1">
        <v>45331</v>
      </c>
    </row>
    <row r="393" spans="1:12" x14ac:dyDescent="0.3">
      <c r="A393" t="s">
        <v>1509</v>
      </c>
      <c r="B393" t="s">
        <v>1511</v>
      </c>
      <c r="C393" t="s">
        <v>1512</v>
      </c>
      <c r="D393" t="s">
        <v>157</v>
      </c>
      <c r="E393" t="s">
        <v>16</v>
      </c>
      <c r="F393" t="s">
        <v>174</v>
      </c>
      <c r="G393">
        <v>47</v>
      </c>
      <c r="H393">
        <v>3</v>
      </c>
      <c r="I393">
        <v>0</v>
      </c>
      <c r="J393">
        <v>16</v>
      </c>
      <c r="K393" t="s">
        <v>26</v>
      </c>
      <c r="L393" s="1">
        <v>45567</v>
      </c>
    </row>
    <row r="394" spans="1:12" x14ac:dyDescent="0.3">
      <c r="A394" t="s">
        <v>1513</v>
      </c>
      <c r="B394" t="s">
        <v>1987</v>
      </c>
      <c r="C394" t="s">
        <v>167</v>
      </c>
      <c r="D394" t="s">
        <v>151</v>
      </c>
      <c r="E394" t="s">
        <v>16</v>
      </c>
      <c r="F394" t="s">
        <v>17</v>
      </c>
      <c r="G394">
        <v>1300</v>
      </c>
      <c r="H394">
        <v>1</v>
      </c>
      <c r="I394">
        <v>0.1</v>
      </c>
      <c r="J394">
        <v>172</v>
      </c>
      <c r="K394" t="s">
        <v>18</v>
      </c>
      <c r="L394" s="1">
        <v>45598</v>
      </c>
    </row>
    <row r="395" spans="1:12" x14ac:dyDescent="0.3">
      <c r="A395" t="s">
        <v>1516</v>
      </c>
      <c r="B395" t="s">
        <v>1988</v>
      </c>
      <c r="C395" t="s">
        <v>1519</v>
      </c>
      <c r="D395" t="s">
        <v>151</v>
      </c>
      <c r="E395" t="s">
        <v>45</v>
      </c>
      <c r="F395" t="s">
        <v>25</v>
      </c>
      <c r="G395">
        <v>36</v>
      </c>
      <c r="H395">
        <v>2</v>
      </c>
      <c r="I395">
        <v>0</v>
      </c>
      <c r="J395">
        <v>21</v>
      </c>
      <c r="K395" t="s">
        <v>26</v>
      </c>
      <c r="L395" s="1">
        <v>45334</v>
      </c>
    </row>
    <row r="396" spans="1:12" x14ac:dyDescent="0.3">
      <c r="A396" t="s">
        <v>1520</v>
      </c>
      <c r="B396" t="s">
        <v>1522</v>
      </c>
      <c r="C396" t="s">
        <v>2004</v>
      </c>
      <c r="D396" t="s">
        <v>151</v>
      </c>
      <c r="E396" t="s">
        <v>32</v>
      </c>
      <c r="F396" t="s">
        <v>33</v>
      </c>
      <c r="G396">
        <v>-610</v>
      </c>
      <c r="H396">
        <v>1</v>
      </c>
      <c r="I396">
        <v>0</v>
      </c>
      <c r="J396">
        <v>-72</v>
      </c>
      <c r="K396" t="s">
        <v>18</v>
      </c>
      <c r="L396" s="1">
        <v>45335</v>
      </c>
    </row>
    <row r="397" spans="1:12" x14ac:dyDescent="0.3">
      <c r="A397" t="s">
        <v>1523</v>
      </c>
      <c r="B397" t="s">
        <v>1989</v>
      </c>
      <c r="C397" t="s">
        <v>1526</v>
      </c>
      <c r="D397" t="s">
        <v>151</v>
      </c>
      <c r="E397" t="s">
        <v>16</v>
      </c>
      <c r="F397" t="s">
        <v>39</v>
      </c>
      <c r="G397">
        <v>1020</v>
      </c>
      <c r="H397">
        <v>1</v>
      </c>
      <c r="I397">
        <v>0.05</v>
      </c>
      <c r="J397">
        <v>132</v>
      </c>
      <c r="K397" t="s">
        <v>18</v>
      </c>
      <c r="L397" s="1">
        <v>45336</v>
      </c>
    </row>
    <row r="398" spans="1:12" x14ac:dyDescent="0.3">
      <c r="A398" t="s">
        <v>1527</v>
      </c>
      <c r="B398" t="s">
        <v>1529</v>
      </c>
      <c r="C398" t="s">
        <v>1530</v>
      </c>
      <c r="D398" t="s">
        <v>151</v>
      </c>
      <c r="E398" t="s">
        <v>45</v>
      </c>
      <c r="F398" t="s">
        <v>46</v>
      </c>
      <c r="G398">
        <v>74</v>
      </c>
      <c r="H398">
        <v>3</v>
      </c>
      <c r="I398">
        <v>0</v>
      </c>
      <c r="J398">
        <v>37</v>
      </c>
      <c r="K398" t="s">
        <v>26</v>
      </c>
      <c r="L398" s="1">
        <v>45337</v>
      </c>
    </row>
    <row r="399" spans="1:12" x14ac:dyDescent="0.3">
      <c r="A399" t="s">
        <v>1531</v>
      </c>
      <c r="B399" t="s">
        <v>1533</v>
      </c>
      <c r="C399" t="s">
        <v>1534</v>
      </c>
      <c r="D399" t="s">
        <v>151</v>
      </c>
      <c r="E399" t="s">
        <v>32</v>
      </c>
      <c r="F399" t="s">
        <v>53</v>
      </c>
      <c r="G399">
        <v>182</v>
      </c>
      <c r="H399">
        <v>4</v>
      </c>
      <c r="I399">
        <v>0.1</v>
      </c>
      <c r="J399">
        <v>40</v>
      </c>
      <c r="K399" t="s">
        <v>26</v>
      </c>
      <c r="L399" s="1">
        <v>45338</v>
      </c>
    </row>
    <row r="400" spans="1:12" x14ac:dyDescent="0.3">
      <c r="A400" t="s">
        <v>1535</v>
      </c>
      <c r="B400" t="s">
        <v>1537</v>
      </c>
      <c r="C400" t="s">
        <v>1538</v>
      </c>
      <c r="D400" t="s">
        <v>151</v>
      </c>
      <c r="E400" t="s">
        <v>16</v>
      </c>
      <c r="F400" t="s">
        <v>59</v>
      </c>
      <c r="G400">
        <v>332</v>
      </c>
      <c r="H400">
        <v>2</v>
      </c>
      <c r="I400">
        <v>0</v>
      </c>
      <c r="J400">
        <v>64</v>
      </c>
      <c r="K400" t="s">
        <v>18</v>
      </c>
      <c r="L400" s="1">
        <v>45339</v>
      </c>
    </row>
    <row r="401" spans="1:12" x14ac:dyDescent="0.3">
      <c r="A401" t="s">
        <v>1539</v>
      </c>
      <c r="B401" t="s">
        <v>1541</v>
      </c>
      <c r="C401" t="s">
        <v>2004</v>
      </c>
      <c r="D401" t="s">
        <v>151</v>
      </c>
      <c r="E401" t="s">
        <v>45</v>
      </c>
      <c r="F401" t="s">
        <v>63</v>
      </c>
      <c r="G401">
        <v>102</v>
      </c>
      <c r="H401">
        <v>1</v>
      </c>
      <c r="I401">
        <v>0.2</v>
      </c>
      <c r="J401">
        <v>37</v>
      </c>
      <c r="K401" t="s">
        <v>26</v>
      </c>
      <c r="L401" s="1">
        <v>45340</v>
      </c>
    </row>
    <row r="402" spans="1:12" x14ac:dyDescent="0.3">
      <c r="A402" t="s">
        <v>1542</v>
      </c>
      <c r="B402" t="s">
        <v>1544</v>
      </c>
      <c r="C402" t="s">
        <v>1545</v>
      </c>
      <c r="D402" t="s">
        <v>151</v>
      </c>
      <c r="E402" t="s">
        <v>32</v>
      </c>
      <c r="F402" t="s">
        <v>68</v>
      </c>
      <c r="G402">
        <v>1120</v>
      </c>
      <c r="H402">
        <v>1</v>
      </c>
      <c r="I402">
        <v>0.15</v>
      </c>
      <c r="J402">
        <v>132</v>
      </c>
      <c r="K402" t="s">
        <v>18</v>
      </c>
      <c r="L402" s="1">
        <v>45341</v>
      </c>
    </row>
    <row r="403" spans="1:12" hidden="1" x14ac:dyDescent="0.3">
      <c r="A403" t="s">
        <v>1546</v>
      </c>
      <c r="B403" t="s">
        <v>1548</v>
      </c>
      <c r="C403" t="s">
        <v>1549</v>
      </c>
      <c r="D403" t="s">
        <v>151</v>
      </c>
      <c r="E403" t="s">
        <v>16</v>
      </c>
      <c r="F403" t="s">
        <v>73</v>
      </c>
      <c r="G403">
        <v>132</v>
      </c>
      <c r="H403">
        <v>0</v>
      </c>
      <c r="I403">
        <v>0</v>
      </c>
      <c r="J403">
        <v>44</v>
      </c>
      <c r="K403" t="s">
        <v>26</v>
      </c>
      <c r="L403" s="1">
        <v>45342</v>
      </c>
    </row>
    <row r="404" spans="1:12" hidden="1" x14ac:dyDescent="0.3">
      <c r="A404" t="s">
        <v>1550</v>
      </c>
      <c r="B404" t="s">
        <v>1552</v>
      </c>
      <c r="C404" t="s">
        <v>1553</v>
      </c>
      <c r="D404" t="s">
        <v>151</v>
      </c>
      <c r="E404" t="s">
        <v>45</v>
      </c>
      <c r="F404" t="s">
        <v>79</v>
      </c>
      <c r="G404">
        <v>152</v>
      </c>
      <c r="H404">
        <v>-1</v>
      </c>
      <c r="I404">
        <v>0</v>
      </c>
      <c r="J404">
        <v>54</v>
      </c>
      <c r="K404" t="s">
        <v>18</v>
      </c>
      <c r="L404" s="1">
        <v>45343</v>
      </c>
    </row>
    <row r="405" spans="1:12" x14ac:dyDescent="0.3">
      <c r="A405" t="s">
        <v>1554</v>
      </c>
      <c r="B405" t="s">
        <v>1556</v>
      </c>
      <c r="C405" t="s">
        <v>1557</v>
      </c>
      <c r="D405" t="s">
        <v>151</v>
      </c>
      <c r="E405" t="s">
        <v>32</v>
      </c>
      <c r="F405" t="s">
        <v>84</v>
      </c>
      <c r="G405">
        <v>382</v>
      </c>
      <c r="H405">
        <v>1</v>
      </c>
      <c r="I405">
        <v>0.1</v>
      </c>
      <c r="J405">
        <v>64</v>
      </c>
      <c r="K405" t="s">
        <v>26</v>
      </c>
      <c r="L405" s="1">
        <v>45344</v>
      </c>
    </row>
    <row r="406" spans="1:12" x14ac:dyDescent="0.3">
      <c r="A406" t="s">
        <v>1558</v>
      </c>
      <c r="B406" t="s">
        <v>1560</v>
      </c>
      <c r="C406" t="s">
        <v>1561</v>
      </c>
      <c r="D406" t="s">
        <v>151</v>
      </c>
      <c r="E406" t="s">
        <v>16</v>
      </c>
      <c r="F406" t="s">
        <v>89</v>
      </c>
      <c r="G406">
        <v>282</v>
      </c>
      <c r="H406">
        <v>2</v>
      </c>
      <c r="I406">
        <v>0.05</v>
      </c>
      <c r="J406">
        <v>54</v>
      </c>
      <c r="K406" t="s">
        <v>18</v>
      </c>
      <c r="L406" s="1">
        <v>45345</v>
      </c>
    </row>
    <row r="407" spans="1:12" x14ac:dyDescent="0.3">
      <c r="A407" t="s">
        <v>1562</v>
      </c>
      <c r="B407" t="s">
        <v>1564</v>
      </c>
      <c r="C407" t="s">
        <v>1565</v>
      </c>
      <c r="D407" t="s">
        <v>151</v>
      </c>
      <c r="E407" t="s">
        <v>45</v>
      </c>
      <c r="F407" t="s">
        <v>95</v>
      </c>
      <c r="G407">
        <v>182</v>
      </c>
      <c r="H407">
        <v>1</v>
      </c>
      <c r="I407">
        <v>0</v>
      </c>
      <c r="J407">
        <v>49</v>
      </c>
      <c r="K407" t="s">
        <v>26</v>
      </c>
      <c r="L407" s="1">
        <v>45346</v>
      </c>
    </row>
    <row r="408" spans="1:12" x14ac:dyDescent="0.3">
      <c r="A408" t="s">
        <v>1566</v>
      </c>
      <c r="B408" t="s">
        <v>1990</v>
      </c>
      <c r="C408" t="s">
        <v>1569</v>
      </c>
      <c r="D408" t="s">
        <v>151</v>
      </c>
      <c r="E408" t="s">
        <v>32</v>
      </c>
      <c r="F408" t="s">
        <v>100</v>
      </c>
      <c r="G408">
        <v>232</v>
      </c>
      <c r="H408">
        <v>1</v>
      </c>
      <c r="I408">
        <v>0.1</v>
      </c>
      <c r="J408">
        <v>44</v>
      </c>
      <c r="K408" t="s">
        <v>18</v>
      </c>
      <c r="L408" s="1">
        <v>45347</v>
      </c>
    </row>
    <row r="409" spans="1:12" x14ac:dyDescent="0.3">
      <c r="A409" t="s">
        <v>1570</v>
      </c>
      <c r="B409" t="s">
        <v>1572</v>
      </c>
      <c r="C409" t="s">
        <v>1573</v>
      </c>
      <c r="D409" t="s">
        <v>151</v>
      </c>
      <c r="E409" t="s">
        <v>16</v>
      </c>
      <c r="F409" t="s">
        <v>106</v>
      </c>
      <c r="G409">
        <v>232</v>
      </c>
      <c r="H409">
        <v>1</v>
      </c>
      <c r="I409">
        <v>0</v>
      </c>
      <c r="J409">
        <v>64</v>
      </c>
      <c r="K409" t="s">
        <v>26</v>
      </c>
      <c r="L409" s="1">
        <v>45348</v>
      </c>
    </row>
    <row r="410" spans="1:12" x14ac:dyDescent="0.3">
      <c r="A410" t="s">
        <v>1574</v>
      </c>
      <c r="B410" t="s">
        <v>1576</v>
      </c>
      <c r="C410" t="s">
        <v>1577</v>
      </c>
      <c r="D410" t="s">
        <v>151</v>
      </c>
      <c r="E410" t="s">
        <v>45</v>
      </c>
      <c r="F410" t="s">
        <v>112</v>
      </c>
      <c r="G410">
        <v>84</v>
      </c>
      <c r="H410">
        <v>2</v>
      </c>
      <c r="I410">
        <v>0.1</v>
      </c>
      <c r="J410">
        <v>23</v>
      </c>
      <c r="K410" t="s">
        <v>18</v>
      </c>
      <c r="L410" s="1">
        <v>45349</v>
      </c>
    </row>
    <row r="411" spans="1:12" x14ac:dyDescent="0.3">
      <c r="A411" t="s">
        <v>1578</v>
      </c>
      <c r="B411" t="s">
        <v>1580</v>
      </c>
      <c r="C411" t="s">
        <v>2004</v>
      </c>
      <c r="D411" t="s">
        <v>151</v>
      </c>
      <c r="E411" t="s">
        <v>32</v>
      </c>
      <c r="F411" t="s">
        <v>117</v>
      </c>
      <c r="G411">
        <v>1240</v>
      </c>
      <c r="H411">
        <v>1</v>
      </c>
      <c r="I411">
        <v>0.2</v>
      </c>
      <c r="J411">
        <v>182</v>
      </c>
      <c r="K411" t="s">
        <v>26</v>
      </c>
      <c r="L411" s="1">
        <v>45350</v>
      </c>
    </row>
    <row r="412" spans="1:12" x14ac:dyDescent="0.3">
      <c r="A412" t="s">
        <v>1581</v>
      </c>
      <c r="B412" t="s">
        <v>1583</v>
      </c>
      <c r="C412" t="s">
        <v>1584</v>
      </c>
      <c r="D412" t="s">
        <v>151</v>
      </c>
      <c r="E412" t="s">
        <v>16</v>
      </c>
      <c r="F412" t="s">
        <v>123</v>
      </c>
      <c r="G412">
        <v>840</v>
      </c>
      <c r="H412">
        <v>1</v>
      </c>
      <c r="I412">
        <v>0</v>
      </c>
      <c r="J412">
        <v>112</v>
      </c>
      <c r="K412" t="s">
        <v>18</v>
      </c>
      <c r="L412" s="1">
        <v>45351</v>
      </c>
    </row>
    <row r="413" spans="1:12" x14ac:dyDescent="0.3">
      <c r="A413" t="s">
        <v>1585</v>
      </c>
      <c r="B413" t="s">
        <v>1587</v>
      </c>
      <c r="C413" t="s">
        <v>1588</v>
      </c>
      <c r="D413" t="s">
        <v>151</v>
      </c>
      <c r="E413" t="s">
        <v>45</v>
      </c>
      <c r="F413" t="s">
        <v>129</v>
      </c>
      <c r="G413">
        <v>54</v>
      </c>
      <c r="H413">
        <v>3</v>
      </c>
      <c r="I413">
        <v>0</v>
      </c>
      <c r="J413">
        <v>17</v>
      </c>
      <c r="K413" t="s">
        <v>26</v>
      </c>
      <c r="L413" s="1">
        <v>45352</v>
      </c>
    </row>
    <row r="414" spans="1:12" x14ac:dyDescent="0.3">
      <c r="A414" t="s">
        <v>1589</v>
      </c>
      <c r="B414" t="s">
        <v>1591</v>
      </c>
      <c r="C414" t="s">
        <v>1592</v>
      </c>
      <c r="D414" t="s">
        <v>151</v>
      </c>
      <c r="E414" t="s">
        <v>32</v>
      </c>
      <c r="F414" t="s">
        <v>135</v>
      </c>
      <c r="G414">
        <v>-540</v>
      </c>
      <c r="H414">
        <v>1</v>
      </c>
      <c r="I414">
        <v>0</v>
      </c>
      <c r="J414">
        <v>-44</v>
      </c>
      <c r="K414" t="s">
        <v>18</v>
      </c>
      <c r="L414" s="1">
        <v>45325</v>
      </c>
    </row>
    <row r="415" spans="1:12" x14ac:dyDescent="0.3">
      <c r="A415" t="s">
        <v>1593</v>
      </c>
      <c r="B415" t="s">
        <v>1595</v>
      </c>
      <c r="C415" t="s">
        <v>1596</v>
      </c>
      <c r="D415" t="s">
        <v>151</v>
      </c>
      <c r="E415" t="s">
        <v>16</v>
      </c>
      <c r="F415" t="s">
        <v>141</v>
      </c>
      <c r="G415">
        <v>104</v>
      </c>
      <c r="H415">
        <v>2</v>
      </c>
      <c r="I415">
        <v>0.1</v>
      </c>
      <c r="J415">
        <v>37</v>
      </c>
      <c r="K415" t="s">
        <v>26</v>
      </c>
      <c r="L415" s="1">
        <v>45354</v>
      </c>
    </row>
    <row r="416" spans="1:12" x14ac:dyDescent="0.3">
      <c r="A416" t="s">
        <v>1597</v>
      </c>
      <c r="B416" t="s">
        <v>1599</v>
      </c>
      <c r="C416" t="s">
        <v>1600</v>
      </c>
      <c r="D416" t="s">
        <v>151</v>
      </c>
      <c r="E416" t="s">
        <v>45</v>
      </c>
      <c r="F416" t="s">
        <v>146</v>
      </c>
      <c r="G416">
        <v>37</v>
      </c>
      <c r="H416">
        <v>5</v>
      </c>
      <c r="I416">
        <v>0</v>
      </c>
      <c r="J416">
        <v>17</v>
      </c>
      <c r="K416" t="s">
        <v>18</v>
      </c>
      <c r="L416" s="1">
        <v>45385</v>
      </c>
    </row>
    <row r="417" spans="1:12" x14ac:dyDescent="0.3">
      <c r="A417" t="s">
        <v>1601</v>
      </c>
      <c r="B417" t="s">
        <v>1603</v>
      </c>
      <c r="C417" t="s">
        <v>1604</v>
      </c>
      <c r="D417" t="s">
        <v>151</v>
      </c>
      <c r="E417" t="s">
        <v>32</v>
      </c>
      <c r="F417" t="s">
        <v>152</v>
      </c>
      <c r="G417">
        <v>64</v>
      </c>
      <c r="H417">
        <v>4</v>
      </c>
      <c r="I417">
        <v>0</v>
      </c>
      <c r="J417">
        <v>23</v>
      </c>
      <c r="K417" t="s">
        <v>26</v>
      </c>
      <c r="L417" s="1">
        <v>45356</v>
      </c>
    </row>
    <row r="418" spans="1:12" x14ac:dyDescent="0.3">
      <c r="A418" t="s">
        <v>1605</v>
      </c>
      <c r="B418" t="s">
        <v>1607</v>
      </c>
      <c r="C418" t="s">
        <v>681</v>
      </c>
      <c r="D418" t="s">
        <v>151</v>
      </c>
      <c r="E418" t="s">
        <v>16</v>
      </c>
      <c r="F418" t="s">
        <v>158</v>
      </c>
      <c r="G418">
        <v>74</v>
      </c>
      <c r="H418">
        <v>2</v>
      </c>
      <c r="I418">
        <v>0</v>
      </c>
      <c r="J418">
        <v>23</v>
      </c>
      <c r="K418" t="s">
        <v>18</v>
      </c>
      <c r="L418" s="1">
        <v>45357</v>
      </c>
    </row>
    <row r="419" spans="1:12" x14ac:dyDescent="0.3">
      <c r="A419" t="s">
        <v>1608</v>
      </c>
      <c r="B419" t="s">
        <v>1610</v>
      </c>
      <c r="C419" t="s">
        <v>2004</v>
      </c>
      <c r="D419" t="s">
        <v>151</v>
      </c>
      <c r="E419" t="s">
        <v>45</v>
      </c>
      <c r="F419" t="s">
        <v>163</v>
      </c>
      <c r="G419">
        <v>44</v>
      </c>
      <c r="H419">
        <v>1</v>
      </c>
      <c r="I419">
        <v>0</v>
      </c>
      <c r="J419">
        <v>17</v>
      </c>
      <c r="K419" t="s">
        <v>26</v>
      </c>
      <c r="L419" s="1">
        <v>45476</v>
      </c>
    </row>
    <row r="420" spans="1:12" x14ac:dyDescent="0.3">
      <c r="A420" t="s">
        <v>1611</v>
      </c>
      <c r="B420" t="s">
        <v>1613</v>
      </c>
      <c r="C420" t="s">
        <v>1614</v>
      </c>
      <c r="D420" t="s">
        <v>151</v>
      </c>
      <c r="E420" t="s">
        <v>32</v>
      </c>
      <c r="F420" t="s">
        <v>168</v>
      </c>
      <c r="G420">
        <v>84</v>
      </c>
      <c r="H420">
        <v>2</v>
      </c>
      <c r="I420">
        <v>0.1</v>
      </c>
      <c r="J420">
        <v>23</v>
      </c>
      <c r="K420" t="s">
        <v>18</v>
      </c>
      <c r="L420" s="1">
        <v>45359</v>
      </c>
    </row>
    <row r="421" spans="1:12" x14ac:dyDescent="0.3">
      <c r="A421" t="s">
        <v>1615</v>
      </c>
      <c r="B421" t="s">
        <v>1617</v>
      </c>
      <c r="C421" t="s">
        <v>1618</v>
      </c>
      <c r="D421" t="s">
        <v>151</v>
      </c>
      <c r="E421" t="s">
        <v>16</v>
      </c>
      <c r="F421" t="s">
        <v>174</v>
      </c>
      <c r="G421">
        <v>49</v>
      </c>
      <c r="H421">
        <v>3</v>
      </c>
      <c r="I421">
        <v>0</v>
      </c>
      <c r="J421">
        <v>17</v>
      </c>
      <c r="K421" t="s">
        <v>26</v>
      </c>
      <c r="L421" s="1">
        <v>45538</v>
      </c>
    </row>
    <row r="422" spans="1:12" x14ac:dyDescent="0.3">
      <c r="A422" t="s">
        <v>1619</v>
      </c>
      <c r="B422" t="s">
        <v>1991</v>
      </c>
      <c r="C422" t="s">
        <v>172</v>
      </c>
      <c r="D422" t="s">
        <v>173</v>
      </c>
      <c r="E422" t="s">
        <v>16</v>
      </c>
      <c r="F422" t="s">
        <v>17</v>
      </c>
      <c r="G422">
        <v>1310</v>
      </c>
      <c r="H422">
        <v>1</v>
      </c>
      <c r="I422">
        <v>0.1</v>
      </c>
      <c r="J422">
        <v>174</v>
      </c>
      <c r="K422" t="s">
        <v>18</v>
      </c>
      <c r="L422" s="1">
        <v>45568</v>
      </c>
    </row>
    <row r="423" spans="1:12" x14ac:dyDescent="0.3">
      <c r="A423" t="s">
        <v>1622</v>
      </c>
      <c r="B423" t="s">
        <v>1992</v>
      </c>
      <c r="C423" t="s">
        <v>1625</v>
      </c>
      <c r="D423" t="s">
        <v>173</v>
      </c>
      <c r="E423" t="s">
        <v>45</v>
      </c>
      <c r="F423" t="s">
        <v>25</v>
      </c>
      <c r="G423">
        <v>37</v>
      </c>
      <c r="H423">
        <v>2</v>
      </c>
      <c r="I423">
        <v>0</v>
      </c>
      <c r="J423">
        <v>22</v>
      </c>
      <c r="K423" t="s">
        <v>26</v>
      </c>
      <c r="L423" s="1">
        <v>45362</v>
      </c>
    </row>
    <row r="424" spans="1:12" x14ac:dyDescent="0.3">
      <c r="A424" t="s">
        <v>1626</v>
      </c>
      <c r="B424" t="s">
        <v>1628</v>
      </c>
      <c r="C424" t="s">
        <v>2004</v>
      </c>
      <c r="D424" t="s">
        <v>173</v>
      </c>
      <c r="E424" t="s">
        <v>32</v>
      </c>
      <c r="F424" t="s">
        <v>33</v>
      </c>
      <c r="G424">
        <v>-620</v>
      </c>
      <c r="H424">
        <v>1</v>
      </c>
      <c r="I424">
        <v>0</v>
      </c>
      <c r="J424">
        <v>-74</v>
      </c>
      <c r="K424" t="s">
        <v>18</v>
      </c>
      <c r="L424" s="1">
        <v>45363</v>
      </c>
    </row>
    <row r="425" spans="1:12" x14ac:dyDescent="0.3">
      <c r="A425" t="s">
        <v>1629</v>
      </c>
      <c r="B425" t="s">
        <v>1993</v>
      </c>
      <c r="C425" t="s">
        <v>1632</v>
      </c>
      <c r="D425" t="s">
        <v>173</v>
      </c>
      <c r="E425" t="s">
        <v>16</v>
      </c>
      <c r="F425" t="s">
        <v>39</v>
      </c>
      <c r="G425">
        <v>1040</v>
      </c>
      <c r="H425">
        <v>1</v>
      </c>
      <c r="I425">
        <v>0.05</v>
      </c>
      <c r="J425">
        <v>134</v>
      </c>
      <c r="K425" t="s">
        <v>18</v>
      </c>
      <c r="L425" s="1">
        <v>45364</v>
      </c>
    </row>
    <row r="426" spans="1:12" x14ac:dyDescent="0.3">
      <c r="A426" t="s">
        <v>1633</v>
      </c>
      <c r="B426" t="s">
        <v>1635</v>
      </c>
      <c r="C426" t="s">
        <v>1636</v>
      </c>
      <c r="D426" t="s">
        <v>173</v>
      </c>
      <c r="E426" t="s">
        <v>45</v>
      </c>
      <c r="F426" t="s">
        <v>46</v>
      </c>
      <c r="G426">
        <v>76</v>
      </c>
      <c r="H426">
        <v>3</v>
      </c>
      <c r="I426">
        <v>0</v>
      </c>
      <c r="J426">
        <v>39</v>
      </c>
      <c r="K426" t="s">
        <v>26</v>
      </c>
      <c r="L426" s="1">
        <v>45365</v>
      </c>
    </row>
    <row r="427" spans="1:12" x14ac:dyDescent="0.3">
      <c r="A427" t="s">
        <v>1637</v>
      </c>
      <c r="B427" t="s">
        <v>1639</v>
      </c>
      <c r="C427" t="s">
        <v>1640</v>
      </c>
      <c r="D427" t="s">
        <v>173</v>
      </c>
      <c r="E427" t="s">
        <v>32</v>
      </c>
      <c r="F427" t="s">
        <v>53</v>
      </c>
      <c r="G427">
        <v>184</v>
      </c>
      <c r="H427">
        <v>4</v>
      </c>
      <c r="I427">
        <v>0.1</v>
      </c>
      <c r="J427">
        <v>42</v>
      </c>
      <c r="K427" t="s">
        <v>26</v>
      </c>
      <c r="L427" s="1">
        <v>45366</v>
      </c>
    </row>
    <row r="428" spans="1:12" x14ac:dyDescent="0.3">
      <c r="A428" t="s">
        <v>1641</v>
      </c>
      <c r="B428" t="s">
        <v>1643</v>
      </c>
      <c r="C428" t="s">
        <v>1644</v>
      </c>
      <c r="D428" t="s">
        <v>173</v>
      </c>
      <c r="E428" t="s">
        <v>16</v>
      </c>
      <c r="F428" t="s">
        <v>59</v>
      </c>
      <c r="G428">
        <v>334</v>
      </c>
      <c r="H428">
        <v>2</v>
      </c>
      <c r="I428">
        <v>0</v>
      </c>
      <c r="J428">
        <v>66</v>
      </c>
      <c r="K428" t="s">
        <v>18</v>
      </c>
      <c r="L428" s="1">
        <v>45367</v>
      </c>
    </row>
    <row r="429" spans="1:12" x14ac:dyDescent="0.3">
      <c r="A429" t="s">
        <v>1645</v>
      </c>
      <c r="B429" t="s">
        <v>1647</v>
      </c>
      <c r="C429" t="s">
        <v>2004</v>
      </c>
      <c r="D429" t="s">
        <v>173</v>
      </c>
      <c r="E429" t="s">
        <v>45</v>
      </c>
      <c r="F429" t="s">
        <v>63</v>
      </c>
      <c r="G429">
        <v>104</v>
      </c>
      <c r="H429">
        <v>1</v>
      </c>
      <c r="I429">
        <v>0.2</v>
      </c>
      <c r="J429">
        <v>39</v>
      </c>
      <c r="K429" t="s">
        <v>26</v>
      </c>
      <c r="L429" s="1">
        <v>45368</v>
      </c>
    </row>
    <row r="430" spans="1:12" x14ac:dyDescent="0.3">
      <c r="A430" t="s">
        <v>1648</v>
      </c>
      <c r="B430" t="s">
        <v>1994</v>
      </c>
      <c r="C430" t="s">
        <v>1651</v>
      </c>
      <c r="D430" t="s">
        <v>173</v>
      </c>
      <c r="E430" t="s">
        <v>32</v>
      </c>
      <c r="F430" t="s">
        <v>68</v>
      </c>
      <c r="G430">
        <v>1140</v>
      </c>
      <c r="H430">
        <v>1</v>
      </c>
      <c r="I430">
        <v>0.15</v>
      </c>
      <c r="J430">
        <v>134</v>
      </c>
      <c r="K430" t="s">
        <v>18</v>
      </c>
      <c r="L430" s="1">
        <v>45369</v>
      </c>
    </row>
    <row r="431" spans="1:12" hidden="1" x14ac:dyDescent="0.3">
      <c r="A431" t="s">
        <v>1652</v>
      </c>
      <c r="B431" t="s">
        <v>1654</v>
      </c>
      <c r="C431" t="s">
        <v>1655</v>
      </c>
      <c r="D431" t="s">
        <v>173</v>
      </c>
      <c r="E431" t="s">
        <v>16</v>
      </c>
      <c r="F431" t="s">
        <v>73</v>
      </c>
      <c r="G431">
        <v>134</v>
      </c>
      <c r="H431">
        <v>0</v>
      </c>
      <c r="I431">
        <v>0</v>
      </c>
      <c r="J431">
        <v>46</v>
      </c>
      <c r="K431" t="s">
        <v>26</v>
      </c>
      <c r="L431" s="1">
        <v>45370</v>
      </c>
    </row>
    <row r="432" spans="1:12" hidden="1" x14ac:dyDescent="0.3">
      <c r="A432" t="s">
        <v>1656</v>
      </c>
      <c r="B432" t="s">
        <v>1658</v>
      </c>
      <c r="C432" t="s">
        <v>1659</v>
      </c>
      <c r="D432" t="s">
        <v>173</v>
      </c>
      <c r="E432" t="s">
        <v>45</v>
      </c>
      <c r="F432" t="s">
        <v>79</v>
      </c>
      <c r="G432">
        <v>154</v>
      </c>
      <c r="H432">
        <v>-1</v>
      </c>
      <c r="I432">
        <v>0</v>
      </c>
      <c r="J432">
        <v>56</v>
      </c>
      <c r="K432" t="s">
        <v>18</v>
      </c>
      <c r="L432" s="1">
        <v>45371</v>
      </c>
    </row>
    <row r="433" spans="1:12" x14ac:dyDescent="0.3">
      <c r="A433" t="s">
        <v>1660</v>
      </c>
      <c r="B433" t="s">
        <v>1662</v>
      </c>
      <c r="C433" t="s">
        <v>1663</v>
      </c>
      <c r="D433" t="s">
        <v>173</v>
      </c>
      <c r="E433" t="s">
        <v>32</v>
      </c>
      <c r="F433" t="s">
        <v>84</v>
      </c>
      <c r="G433">
        <v>384</v>
      </c>
      <c r="H433">
        <v>1</v>
      </c>
      <c r="I433">
        <v>0.1</v>
      </c>
      <c r="J433">
        <v>66</v>
      </c>
      <c r="K433" t="s">
        <v>26</v>
      </c>
      <c r="L433" s="1">
        <v>45372</v>
      </c>
    </row>
    <row r="434" spans="1:12" x14ac:dyDescent="0.3">
      <c r="A434" t="s">
        <v>1664</v>
      </c>
      <c r="B434" t="s">
        <v>1666</v>
      </c>
      <c r="C434" t="s">
        <v>1667</v>
      </c>
      <c r="D434" t="s">
        <v>173</v>
      </c>
      <c r="E434" t="s">
        <v>16</v>
      </c>
      <c r="F434" t="s">
        <v>89</v>
      </c>
      <c r="G434">
        <v>284</v>
      </c>
      <c r="H434">
        <v>2</v>
      </c>
      <c r="I434">
        <v>0.05</v>
      </c>
      <c r="J434">
        <v>56</v>
      </c>
      <c r="K434" t="s">
        <v>18</v>
      </c>
      <c r="L434" s="1">
        <v>45373</v>
      </c>
    </row>
    <row r="435" spans="1:12" x14ac:dyDescent="0.3">
      <c r="A435" t="s">
        <v>1668</v>
      </c>
      <c r="B435" t="s">
        <v>1670</v>
      </c>
      <c r="C435" t="s">
        <v>1671</v>
      </c>
      <c r="D435" t="s">
        <v>173</v>
      </c>
      <c r="E435" t="s">
        <v>45</v>
      </c>
      <c r="F435" t="s">
        <v>95</v>
      </c>
      <c r="G435">
        <v>184</v>
      </c>
      <c r="H435">
        <v>1</v>
      </c>
      <c r="I435">
        <v>0</v>
      </c>
      <c r="J435">
        <v>51</v>
      </c>
      <c r="K435" t="s">
        <v>26</v>
      </c>
      <c r="L435" s="1">
        <v>45374</v>
      </c>
    </row>
    <row r="436" spans="1:12" x14ac:dyDescent="0.3">
      <c r="A436" t="s">
        <v>1672</v>
      </c>
      <c r="B436" t="s">
        <v>1674</v>
      </c>
      <c r="C436" t="s">
        <v>1675</v>
      </c>
      <c r="D436" t="s">
        <v>173</v>
      </c>
      <c r="E436" t="s">
        <v>32</v>
      </c>
      <c r="F436" t="s">
        <v>100</v>
      </c>
      <c r="G436">
        <v>234</v>
      </c>
      <c r="H436">
        <v>1</v>
      </c>
      <c r="I436">
        <v>0.1</v>
      </c>
      <c r="J436">
        <v>46</v>
      </c>
      <c r="K436" t="s">
        <v>18</v>
      </c>
      <c r="L436" s="1">
        <v>45375</v>
      </c>
    </row>
    <row r="437" spans="1:12" x14ac:dyDescent="0.3">
      <c r="A437" t="s">
        <v>1676</v>
      </c>
      <c r="B437" t="s">
        <v>1678</v>
      </c>
      <c r="C437" t="s">
        <v>1679</v>
      </c>
      <c r="D437" t="s">
        <v>173</v>
      </c>
      <c r="E437" t="s">
        <v>16</v>
      </c>
      <c r="F437" t="s">
        <v>106</v>
      </c>
      <c r="G437">
        <v>234</v>
      </c>
      <c r="H437">
        <v>1</v>
      </c>
      <c r="I437">
        <v>0</v>
      </c>
      <c r="J437">
        <v>66</v>
      </c>
      <c r="K437" t="s">
        <v>26</v>
      </c>
      <c r="L437" s="1">
        <v>45376</v>
      </c>
    </row>
    <row r="438" spans="1:12" x14ac:dyDescent="0.3">
      <c r="A438" t="s">
        <v>1680</v>
      </c>
      <c r="B438" t="s">
        <v>1682</v>
      </c>
      <c r="C438" t="s">
        <v>1683</v>
      </c>
      <c r="D438" t="s">
        <v>173</v>
      </c>
      <c r="E438" t="s">
        <v>45</v>
      </c>
      <c r="F438" t="s">
        <v>112</v>
      </c>
      <c r="G438">
        <v>86</v>
      </c>
      <c r="H438">
        <v>2</v>
      </c>
      <c r="I438">
        <v>0.1</v>
      </c>
      <c r="J438">
        <v>24</v>
      </c>
      <c r="K438" t="s">
        <v>18</v>
      </c>
      <c r="L438" s="1">
        <v>45377</v>
      </c>
    </row>
    <row r="439" spans="1:12" x14ac:dyDescent="0.3">
      <c r="A439" t="s">
        <v>1684</v>
      </c>
      <c r="B439" t="s">
        <v>1686</v>
      </c>
      <c r="C439" t="s">
        <v>2004</v>
      </c>
      <c r="D439" t="s">
        <v>173</v>
      </c>
      <c r="E439" t="s">
        <v>32</v>
      </c>
      <c r="F439" t="s">
        <v>117</v>
      </c>
      <c r="G439">
        <v>1260</v>
      </c>
      <c r="H439">
        <v>1</v>
      </c>
      <c r="I439">
        <v>0.2</v>
      </c>
      <c r="J439">
        <v>184</v>
      </c>
      <c r="K439" t="s">
        <v>26</v>
      </c>
      <c r="L439" s="1">
        <v>45378</v>
      </c>
    </row>
    <row r="440" spans="1:12" x14ac:dyDescent="0.3">
      <c r="A440" t="s">
        <v>1687</v>
      </c>
      <c r="B440" t="s">
        <v>1995</v>
      </c>
      <c r="C440" t="s">
        <v>1690</v>
      </c>
      <c r="D440" t="s">
        <v>173</v>
      </c>
      <c r="E440" t="s">
        <v>16</v>
      </c>
      <c r="F440" t="s">
        <v>123</v>
      </c>
      <c r="G440">
        <v>860</v>
      </c>
      <c r="H440">
        <v>1</v>
      </c>
      <c r="I440">
        <v>0</v>
      </c>
      <c r="J440">
        <v>114</v>
      </c>
      <c r="K440" t="s">
        <v>18</v>
      </c>
      <c r="L440" s="1">
        <v>45379</v>
      </c>
    </row>
    <row r="441" spans="1:12" x14ac:dyDescent="0.3">
      <c r="A441" t="s">
        <v>1691</v>
      </c>
      <c r="B441" t="s">
        <v>1693</v>
      </c>
      <c r="C441" t="s">
        <v>1694</v>
      </c>
      <c r="D441" t="s">
        <v>173</v>
      </c>
      <c r="E441" t="s">
        <v>45</v>
      </c>
      <c r="F441" t="s">
        <v>129</v>
      </c>
      <c r="G441">
        <v>56</v>
      </c>
      <c r="H441">
        <v>3</v>
      </c>
      <c r="I441">
        <v>0</v>
      </c>
      <c r="J441">
        <v>18</v>
      </c>
      <c r="K441" t="s">
        <v>26</v>
      </c>
      <c r="L441" s="1">
        <v>45380</v>
      </c>
    </row>
    <row r="442" spans="1:12" x14ac:dyDescent="0.3">
      <c r="A442" t="s">
        <v>1695</v>
      </c>
      <c r="B442" t="s">
        <v>1697</v>
      </c>
      <c r="C442" t="s">
        <v>1698</v>
      </c>
      <c r="D442" t="s">
        <v>173</v>
      </c>
      <c r="E442" t="s">
        <v>32</v>
      </c>
      <c r="F442" t="s">
        <v>135</v>
      </c>
      <c r="G442">
        <v>-560</v>
      </c>
      <c r="H442">
        <v>1</v>
      </c>
      <c r="I442">
        <v>0</v>
      </c>
      <c r="J442">
        <v>-46</v>
      </c>
      <c r="K442" t="s">
        <v>18</v>
      </c>
      <c r="L442" s="1">
        <v>45381</v>
      </c>
    </row>
    <row r="443" spans="1:12" x14ac:dyDescent="0.3">
      <c r="A443" t="s">
        <v>1699</v>
      </c>
      <c r="B443" t="s">
        <v>1701</v>
      </c>
      <c r="C443" t="s">
        <v>1702</v>
      </c>
      <c r="D443" t="s">
        <v>173</v>
      </c>
      <c r="E443" t="s">
        <v>16</v>
      </c>
      <c r="F443" t="s">
        <v>141</v>
      </c>
      <c r="G443">
        <v>106</v>
      </c>
      <c r="H443">
        <v>2</v>
      </c>
      <c r="I443">
        <v>0.1</v>
      </c>
      <c r="J443">
        <v>39</v>
      </c>
      <c r="K443" t="s">
        <v>26</v>
      </c>
      <c r="L443" s="1">
        <v>45382</v>
      </c>
    </row>
    <row r="444" spans="1:12" x14ac:dyDescent="0.3">
      <c r="A444" t="s">
        <v>1703</v>
      </c>
      <c r="B444" t="s">
        <v>1705</v>
      </c>
      <c r="C444" t="s">
        <v>1706</v>
      </c>
      <c r="D444" t="s">
        <v>173</v>
      </c>
      <c r="E444" t="s">
        <v>45</v>
      </c>
      <c r="F444" t="s">
        <v>146</v>
      </c>
      <c r="G444">
        <v>39</v>
      </c>
      <c r="H444">
        <v>5</v>
      </c>
      <c r="I444">
        <v>0</v>
      </c>
      <c r="J444">
        <v>18</v>
      </c>
      <c r="K444" t="s">
        <v>18</v>
      </c>
      <c r="L444" s="1">
        <v>45295</v>
      </c>
    </row>
    <row r="445" spans="1:12" x14ac:dyDescent="0.3">
      <c r="A445" t="s">
        <v>1707</v>
      </c>
      <c r="B445" t="s">
        <v>1709</v>
      </c>
      <c r="C445" t="s">
        <v>1710</v>
      </c>
      <c r="D445" t="s">
        <v>173</v>
      </c>
      <c r="E445" t="s">
        <v>32</v>
      </c>
      <c r="F445" t="s">
        <v>152</v>
      </c>
      <c r="G445">
        <v>66</v>
      </c>
      <c r="H445">
        <v>4</v>
      </c>
      <c r="I445">
        <v>0</v>
      </c>
      <c r="J445">
        <v>24</v>
      </c>
      <c r="K445" t="s">
        <v>26</v>
      </c>
      <c r="L445" s="1">
        <v>45384</v>
      </c>
    </row>
    <row r="446" spans="1:12" x14ac:dyDescent="0.3">
      <c r="A446" t="s">
        <v>1711</v>
      </c>
      <c r="B446" t="s">
        <v>1713</v>
      </c>
      <c r="C446" t="s">
        <v>1714</v>
      </c>
      <c r="D446" t="s">
        <v>173</v>
      </c>
      <c r="E446" t="s">
        <v>16</v>
      </c>
      <c r="F446" t="s">
        <v>158</v>
      </c>
      <c r="G446">
        <v>76</v>
      </c>
      <c r="H446">
        <v>2</v>
      </c>
      <c r="I446">
        <v>0</v>
      </c>
      <c r="J446">
        <v>24</v>
      </c>
      <c r="K446" t="s">
        <v>18</v>
      </c>
      <c r="L446" s="1">
        <v>45385</v>
      </c>
    </row>
    <row r="447" spans="1:12" x14ac:dyDescent="0.3">
      <c r="A447" t="s">
        <v>1715</v>
      </c>
      <c r="B447" t="s">
        <v>1717</v>
      </c>
      <c r="C447" t="s">
        <v>2004</v>
      </c>
      <c r="D447" t="s">
        <v>173</v>
      </c>
      <c r="E447" t="s">
        <v>45</v>
      </c>
      <c r="F447" t="s">
        <v>163</v>
      </c>
      <c r="G447">
        <v>46</v>
      </c>
      <c r="H447">
        <v>1</v>
      </c>
      <c r="I447">
        <v>0</v>
      </c>
      <c r="J447">
        <v>18</v>
      </c>
      <c r="K447" t="s">
        <v>26</v>
      </c>
      <c r="L447" s="1">
        <v>45386</v>
      </c>
    </row>
    <row r="448" spans="1:12" x14ac:dyDescent="0.3">
      <c r="A448" t="s">
        <v>1718</v>
      </c>
      <c r="B448" t="s">
        <v>1720</v>
      </c>
      <c r="C448" t="s">
        <v>1721</v>
      </c>
      <c r="D448" t="s">
        <v>173</v>
      </c>
      <c r="E448" t="s">
        <v>32</v>
      </c>
      <c r="F448" t="s">
        <v>168</v>
      </c>
      <c r="G448">
        <v>86</v>
      </c>
      <c r="H448">
        <v>2</v>
      </c>
      <c r="I448">
        <v>0.1</v>
      </c>
      <c r="J448">
        <v>24</v>
      </c>
      <c r="K448" t="s">
        <v>18</v>
      </c>
      <c r="L448" s="1">
        <v>45387</v>
      </c>
    </row>
    <row r="449" spans="1:12" x14ac:dyDescent="0.3">
      <c r="A449" t="s">
        <v>1722</v>
      </c>
      <c r="B449" t="s">
        <v>1724</v>
      </c>
      <c r="C449" t="s">
        <v>1725</v>
      </c>
      <c r="D449" t="s">
        <v>173</v>
      </c>
      <c r="E449" t="s">
        <v>16</v>
      </c>
      <c r="F449" t="s">
        <v>174</v>
      </c>
      <c r="G449">
        <v>51</v>
      </c>
      <c r="H449">
        <v>3</v>
      </c>
      <c r="I449">
        <v>0</v>
      </c>
      <c r="J449">
        <v>18</v>
      </c>
      <c r="K449" t="s">
        <v>26</v>
      </c>
      <c r="L449" s="1">
        <v>45447</v>
      </c>
    </row>
    <row r="450" spans="1:12" x14ac:dyDescent="0.3">
      <c r="A450" t="s">
        <v>1726</v>
      </c>
      <c r="B450" t="s">
        <v>1287</v>
      </c>
      <c r="C450" t="s">
        <v>178</v>
      </c>
      <c r="D450" t="s">
        <v>162</v>
      </c>
      <c r="E450" t="s">
        <v>16</v>
      </c>
      <c r="F450" t="s">
        <v>17</v>
      </c>
      <c r="G450">
        <v>1320</v>
      </c>
      <c r="H450">
        <v>1</v>
      </c>
      <c r="I450">
        <v>0.1</v>
      </c>
      <c r="J450">
        <v>176</v>
      </c>
      <c r="K450" t="s">
        <v>18</v>
      </c>
      <c r="L450" s="1">
        <v>45477</v>
      </c>
    </row>
    <row r="451" spans="1:12" x14ac:dyDescent="0.3">
      <c r="A451" t="s">
        <v>1729</v>
      </c>
      <c r="B451" t="s">
        <v>1290</v>
      </c>
      <c r="C451" t="s">
        <v>1732</v>
      </c>
      <c r="D451" t="s">
        <v>162</v>
      </c>
      <c r="E451" t="s">
        <v>45</v>
      </c>
      <c r="F451" t="s">
        <v>25</v>
      </c>
      <c r="G451">
        <v>38</v>
      </c>
      <c r="H451">
        <v>2</v>
      </c>
      <c r="I451">
        <v>0</v>
      </c>
      <c r="J451">
        <v>23</v>
      </c>
      <c r="K451" t="s">
        <v>26</v>
      </c>
      <c r="L451" s="1">
        <v>45390</v>
      </c>
    </row>
    <row r="452" spans="1:12" x14ac:dyDescent="0.3">
      <c r="A452" t="s">
        <v>1733</v>
      </c>
      <c r="B452" t="s">
        <v>1293</v>
      </c>
      <c r="C452" t="s">
        <v>2004</v>
      </c>
      <c r="D452" t="s">
        <v>162</v>
      </c>
      <c r="E452" t="s">
        <v>32</v>
      </c>
      <c r="F452" t="s">
        <v>33</v>
      </c>
      <c r="G452">
        <v>-630</v>
      </c>
      <c r="H452">
        <v>1</v>
      </c>
      <c r="I452">
        <v>0</v>
      </c>
      <c r="J452">
        <v>-76</v>
      </c>
      <c r="K452" t="s">
        <v>18</v>
      </c>
      <c r="L452" s="1">
        <v>45391</v>
      </c>
    </row>
    <row r="453" spans="1:12" x14ac:dyDescent="0.3">
      <c r="A453" t="s">
        <v>1735</v>
      </c>
      <c r="B453" t="s">
        <v>1296</v>
      </c>
      <c r="C453" t="s">
        <v>1738</v>
      </c>
      <c r="D453" t="s">
        <v>162</v>
      </c>
      <c r="E453" t="s">
        <v>16</v>
      </c>
      <c r="F453" t="s">
        <v>39</v>
      </c>
      <c r="G453">
        <v>1060</v>
      </c>
      <c r="H453">
        <v>1</v>
      </c>
      <c r="I453">
        <v>0.05</v>
      </c>
      <c r="J453">
        <v>136</v>
      </c>
      <c r="K453" t="s">
        <v>18</v>
      </c>
      <c r="L453" s="1">
        <v>45569</v>
      </c>
    </row>
    <row r="454" spans="1:12" x14ac:dyDescent="0.3">
      <c r="A454" t="s">
        <v>1739</v>
      </c>
      <c r="B454" t="s">
        <v>1299</v>
      </c>
      <c r="C454" t="s">
        <v>1741</v>
      </c>
      <c r="D454" t="s">
        <v>162</v>
      </c>
      <c r="E454" t="s">
        <v>45</v>
      </c>
      <c r="F454" t="s">
        <v>46</v>
      </c>
      <c r="G454">
        <v>78</v>
      </c>
      <c r="H454">
        <v>3</v>
      </c>
      <c r="I454">
        <v>0</v>
      </c>
      <c r="J454">
        <v>41</v>
      </c>
      <c r="K454" t="s">
        <v>26</v>
      </c>
      <c r="L454" s="1">
        <v>45600</v>
      </c>
    </row>
    <row r="455" spans="1:12" x14ac:dyDescent="0.3">
      <c r="A455" t="s">
        <v>1742</v>
      </c>
      <c r="B455" t="s">
        <v>1744</v>
      </c>
      <c r="C455" t="s">
        <v>1745</v>
      </c>
      <c r="D455" t="s">
        <v>162</v>
      </c>
      <c r="E455" t="s">
        <v>32</v>
      </c>
      <c r="F455" t="s">
        <v>53</v>
      </c>
      <c r="G455">
        <v>186</v>
      </c>
      <c r="H455">
        <v>4</v>
      </c>
      <c r="I455">
        <v>0.1</v>
      </c>
      <c r="J455">
        <v>44</v>
      </c>
      <c r="K455" t="s">
        <v>26</v>
      </c>
      <c r="L455" s="1">
        <v>45394</v>
      </c>
    </row>
    <row r="456" spans="1:12" x14ac:dyDescent="0.3">
      <c r="A456" t="s">
        <v>1746</v>
      </c>
      <c r="B456" t="s">
        <v>1748</v>
      </c>
      <c r="C456" t="s">
        <v>1749</v>
      </c>
      <c r="D456" t="s">
        <v>162</v>
      </c>
      <c r="E456" t="s">
        <v>16</v>
      </c>
      <c r="F456" t="s">
        <v>59</v>
      </c>
      <c r="G456">
        <v>336</v>
      </c>
      <c r="H456">
        <v>2</v>
      </c>
      <c r="I456">
        <v>0</v>
      </c>
      <c r="J456">
        <v>68</v>
      </c>
      <c r="K456" t="s">
        <v>18</v>
      </c>
      <c r="L456" s="1">
        <v>45395</v>
      </c>
    </row>
    <row r="457" spans="1:12" x14ac:dyDescent="0.3">
      <c r="A457" t="s">
        <v>1750</v>
      </c>
      <c r="B457" t="s">
        <v>1752</v>
      </c>
      <c r="C457" t="s">
        <v>2004</v>
      </c>
      <c r="D457" t="s">
        <v>162</v>
      </c>
      <c r="E457" t="s">
        <v>45</v>
      </c>
      <c r="F457" t="s">
        <v>63</v>
      </c>
      <c r="G457">
        <v>106</v>
      </c>
      <c r="H457">
        <v>1</v>
      </c>
      <c r="I457">
        <v>0.2</v>
      </c>
      <c r="J457">
        <v>41</v>
      </c>
      <c r="K457" t="s">
        <v>26</v>
      </c>
      <c r="L457" s="1">
        <v>45396</v>
      </c>
    </row>
    <row r="458" spans="1:12" x14ac:dyDescent="0.3">
      <c r="A458" t="s">
        <v>1753</v>
      </c>
      <c r="B458" t="s">
        <v>1755</v>
      </c>
      <c r="C458" t="s">
        <v>1756</v>
      </c>
      <c r="D458" t="s">
        <v>162</v>
      </c>
      <c r="E458" t="s">
        <v>32</v>
      </c>
      <c r="F458" t="s">
        <v>68</v>
      </c>
      <c r="G458">
        <v>1160</v>
      </c>
      <c r="H458">
        <v>1</v>
      </c>
      <c r="I458">
        <v>0.15</v>
      </c>
      <c r="J458">
        <v>136</v>
      </c>
      <c r="K458" t="s">
        <v>18</v>
      </c>
      <c r="L458" s="1">
        <v>45397</v>
      </c>
    </row>
    <row r="459" spans="1:12" hidden="1" x14ac:dyDescent="0.3">
      <c r="A459" t="s">
        <v>1757</v>
      </c>
      <c r="B459" t="s">
        <v>1759</v>
      </c>
      <c r="C459" t="s">
        <v>1377</v>
      </c>
      <c r="D459" t="s">
        <v>162</v>
      </c>
      <c r="E459" t="s">
        <v>16</v>
      </c>
      <c r="F459" t="s">
        <v>73</v>
      </c>
      <c r="G459">
        <v>136</v>
      </c>
      <c r="H459">
        <v>0</v>
      </c>
      <c r="I459">
        <v>0</v>
      </c>
      <c r="J459">
        <v>48</v>
      </c>
      <c r="K459" t="s">
        <v>26</v>
      </c>
      <c r="L459" s="1">
        <v>45398</v>
      </c>
    </row>
    <row r="460" spans="1:12" hidden="1" x14ac:dyDescent="0.3">
      <c r="A460" t="s">
        <v>1760</v>
      </c>
      <c r="B460" t="s">
        <v>1762</v>
      </c>
      <c r="C460" t="s">
        <v>415</v>
      </c>
      <c r="D460" t="s">
        <v>162</v>
      </c>
      <c r="E460" t="s">
        <v>45</v>
      </c>
      <c r="F460" t="s">
        <v>79</v>
      </c>
      <c r="G460">
        <v>156</v>
      </c>
      <c r="H460">
        <v>-1</v>
      </c>
      <c r="I460">
        <v>0</v>
      </c>
      <c r="J460">
        <v>58</v>
      </c>
      <c r="K460" t="s">
        <v>18</v>
      </c>
      <c r="L460" s="1">
        <v>45399</v>
      </c>
    </row>
    <row r="461" spans="1:12" x14ac:dyDescent="0.3">
      <c r="A461" t="s">
        <v>1763</v>
      </c>
      <c r="B461" t="s">
        <v>1184</v>
      </c>
      <c r="C461" t="s">
        <v>1765</v>
      </c>
      <c r="D461" t="s">
        <v>162</v>
      </c>
      <c r="E461" t="s">
        <v>32</v>
      </c>
      <c r="F461" t="s">
        <v>84</v>
      </c>
      <c r="G461">
        <v>386</v>
      </c>
      <c r="H461">
        <v>1</v>
      </c>
      <c r="I461">
        <v>0.1</v>
      </c>
      <c r="J461">
        <v>68</v>
      </c>
      <c r="K461" t="s">
        <v>26</v>
      </c>
      <c r="L461" s="1">
        <v>45400</v>
      </c>
    </row>
    <row r="462" spans="1:12" x14ac:dyDescent="0.3">
      <c r="A462" t="s">
        <v>1766</v>
      </c>
      <c r="B462" t="s">
        <v>1768</v>
      </c>
      <c r="C462" t="s">
        <v>264</v>
      </c>
      <c r="D462" t="s">
        <v>162</v>
      </c>
      <c r="E462" t="s">
        <v>16</v>
      </c>
      <c r="F462" t="s">
        <v>89</v>
      </c>
      <c r="G462">
        <v>286</v>
      </c>
      <c r="H462">
        <v>2</v>
      </c>
      <c r="I462">
        <v>0.05</v>
      </c>
      <c r="J462">
        <v>58</v>
      </c>
      <c r="K462" t="s">
        <v>18</v>
      </c>
      <c r="L462" s="1">
        <v>45401</v>
      </c>
    </row>
    <row r="463" spans="1:12" x14ac:dyDescent="0.3">
      <c r="A463" t="s">
        <v>1769</v>
      </c>
      <c r="B463" t="s">
        <v>1771</v>
      </c>
      <c r="C463" t="s">
        <v>1772</v>
      </c>
      <c r="D463" t="s">
        <v>162</v>
      </c>
      <c r="E463" t="s">
        <v>45</v>
      </c>
      <c r="F463" t="s">
        <v>95</v>
      </c>
      <c r="G463">
        <v>186</v>
      </c>
      <c r="H463">
        <v>1</v>
      </c>
      <c r="I463">
        <v>0</v>
      </c>
      <c r="J463">
        <v>53</v>
      </c>
      <c r="K463" t="s">
        <v>26</v>
      </c>
      <c r="L463" s="1">
        <v>45402</v>
      </c>
    </row>
    <row r="464" spans="1:12" x14ac:dyDescent="0.3">
      <c r="A464" t="s">
        <v>1773</v>
      </c>
      <c r="B464" t="s">
        <v>1775</v>
      </c>
      <c r="C464" t="s">
        <v>1776</v>
      </c>
      <c r="D464" t="s">
        <v>162</v>
      </c>
      <c r="E464" t="s">
        <v>32</v>
      </c>
      <c r="F464" t="s">
        <v>100</v>
      </c>
      <c r="G464">
        <v>236</v>
      </c>
      <c r="H464">
        <v>1</v>
      </c>
      <c r="I464">
        <v>0.1</v>
      </c>
      <c r="J464">
        <v>48</v>
      </c>
      <c r="K464" t="s">
        <v>18</v>
      </c>
      <c r="L464" s="1">
        <v>45403</v>
      </c>
    </row>
    <row r="465" spans="1:12" x14ac:dyDescent="0.3">
      <c r="A465" t="s">
        <v>1777</v>
      </c>
      <c r="B465" t="s">
        <v>1779</v>
      </c>
      <c r="C465" t="s">
        <v>1780</v>
      </c>
      <c r="D465" t="s">
        <v>162</v>
      </c>
      <c r="E465" t="s">
        <v>16</v>
      </c>
      <c r="F465" t="s">
        <v>106</v>
      </c>
      <c r="G465">
        <v>236</v>
      </c>
      <c r="H465">
        <v>1</v>
      </c>
      <c r="I465">
        <v>0</v>
      </c>
      <c r="J465">
        <v>68</v>
      </c>
      <c r="K465" t="s">
        <v>26</v>
      </c>
      <c r="L465" s="1">
        <v>45404</v>
      </c>
    </row>
    <row r="466" spans="1:12" x14ac:dyDescent="0.3">
      <c r="A466" t="s">
        <v>1781</v>
      </c>
      <c r="B466" t="s">
        <v>1783</v>
      </c>
      <c r="C466" t="s">
        <v>1784</v>
      </c>
      <c r="D466" t="s">
        <v>162</v>
      </c>
      <c r="E466" t="s">
        <v>45</v>
      </c>
      <c r="F466" t="s">
        <v>112</v>
      </c>
      <c r="G466">
        <v>88</v>
      </c>
      <c r="H466">
        <v>2</v>
      </c>
      <c r="I466">
        <v>0.1</v>
      </c>
      <c r="J466">
        <v>25</v>
      </c>
      <c r="K466" t="s">
        <v>18</v>
      </c>
      <c r="L466" s="1">
        <v>45405</v>
      </c>
    </row>
    <row r="467" spans="1:12" x14ac:dyDescent="0.3">
      <c r="A467" t="s">
        <v>1785</v>
      </c>
      <c r="B467" t="s">
        <v>1787</v>
      </c>
      <c r="C467" t="s">
        <v>2004</v>
      </c>
      <c r="D467" t="s">
        <v>162</v>
      </c>
      <c r="E467" t="s">
        <v>32</v>
      </c>
      <c r="F467" t="s">
        <v>117</v>
      </c>
      <c r="G467">
        <v>1280</v>
      </c>
      <c r="H467">
        <v>1</v>
      </c>
      <c r="I467">
        <v>0.2</v>
      </c>
      <c r="J467">
        <v>186</v>
      </c>
      <c r="K467" t="s">
        <v>26</v>
      </c>
      <c r="L467" s="1">
        <v>45406</v>
      </c>
    </row>
    <row r="468" spans="1:12" x14ac:dyDescent="0.3">
      <c r="A468" t="s">
        <v>1788</v>
      </c>
      <c r="B468" t="s">
        <v>1790</v>
      </c>
      <c r="C468" t="s">
        <v>1791</v>
      </c>
      <c r="D468" t="s">
        <v>162</v>
      </c>
      <c r="E468" t="s">
        <v>16</v>
      </c>
      <c r="F468" t="s">
        <v>123</v>
      </c>
      <c r="G468">
        <v>880</v>
      </c>
      <c r="H468">
        <v>1</v>
      </c>
      <c r="I468">
        <v>0</v>
      </c>
      <c r="J468">
        <v>116</v>
      </c>
      <c r="K468" t="s">
        <v>18</v>
      </c>
      <c r="L468" s="1">
        <v>45407</v>
      </c>
    </row>
    <row r="469" spans="1:12" x14ac:dyDescent="0.3">
      <c r="A469" t="s">
        <v>1792</v>
      </c>
      <c r="B469" t="s">
        <v>1794</v>
      </c>
      <c r="C469" t="s">
        <v>1795</v>
      </c>
      <c r="D469" t="s">
        <v>162</v>
      </c>
      <c r="E469" t="s">
        <v>45</v>
      </c>
      <c r="F469" t="s">
        <v>129</v>
      </c>
      <c r="G469">
        <v>58</v>
      </c>
      <c r="H469">
        <v>3</v>
      </c>
      <c r="I469">
        <v>0</v>
      </c>
      <c r="J469">
        <v>19</v>
      </c>
      <c r="K469" t="s">
        <v>26</v>
      </c>
      <c r="L469" s="1">
        <v>45408</v>
      </c>
    </row>
    <row r="470" spans="1:12" x14ac:dyDescent="0.3">
      <c r="A470" t="s">
        <v>1796</v>
      </c>
      <c r="B470" t="s">
        <v>1798</v>
      </c>
      <c r="C470" t="s">
        <v>1092</v>
      </c>
      <c r="D470" t="s">
        <v>162</v>
      </c>
      <c r="E470" t="s">
        <v>32</v>
      </c>
      <c r="F470" t="s">
        <v>135</v>
      </c>
      <c r="G470">
        <v>-580</v>
      </c>
      <c r="H470">
        <v>1</v>
      </c>
      <c r="I470">
        <v>0</v>
      </c>
      <c r="J470">
        <v>-48</v>
      </c>
      <c r="K470" t="s">
        <v>18</v>
      </c>
      <c r="L470" s="1">
        <v>45409</v>
      </c>
    </row>
    <row r="471" spans="1:12" x14ac:dyDescent="0.3">
      <c r="A471" t="s">
        <v>1799</v>
      </c>
      <c r="B471" t="s">
        <v>1801</v>
      </c>
      <c r="C471" t="s">
        <v>1802</v>
      </c>
      <c r="D471" t="s">
        <v>162</v>
      </c>
      <c r="E471" t="s">
        <v>16</v>
      </c>
      <c r="F471" t="s">
        <v>141</v>
      </c>
      <c r="G471">
        <v>108</v>
      </c>
      <c r="H471">
        <v>2</v>
      </c>
      <c r="I471">
        <v>0.1</v>
      </c>
      <c r="J471">
        <v>41</v>
      </c>
      <c r="K471" t="s">
        <v>26</v>
      </c>
      <c r="L471" s="1">
        <v>45410</v>
      </c>
    </row>
    <row r="472" spans="1:12" x14ac:dyDescent="0.3">
      <c r="A472" t="s">
        <v>1803</v>
      </c>
      <c r="B472" t="s">
        <v>1805</v>
      </c>
      <c r="C472" t="s">
        <v>1806</v>
      </c>
      <c r="D472" t="s">
        <v>162</v>
      </c>
      <c r="E472" t="s">
        <v>45</v>
      </c>
      <c r="F472" t="s">
        <v>146</v>
      </c>
      <c r="G472">
        <v>41</v>
      </c>
      <c r="H472">
        <v>5</v>
      </c>
      <c r="I472">
        <v>0</v>
      </c>
      <c r="J472">
        <v>19</v>
      </c>
      <c r="K472" t="s">
        <v>18</v>
      </c>
      <c r="L472" s="1">
        <v>45411</v>
      </c>
    </row>
    <row r="473" spans="1:12" x14ac:dyDescent="0.3">
      <c r="A473" t="s">
        <v>1807</v>
      </c>
      <c r="B473" t="s">
        <v>1809</v>
      </c>
      <c r="C473" t="s">
        <v>1810</v>
      </c>
      <c r="D473" t="s">
        <v>162</v>
      </c>
      <c r="E473" t="s">
        <v>32</v>
      </c>
      <c r="F473" t="s">
        <v>152</v>
      </c>
      <c r="G473">
        <v>68</v>
      </c>
      <c r="H473">
        <v>4</v>
      </c>
      <c r="I473">
        <v>0</v>
      </c>
      <c r="J473">
        <v>25</v>
      </c>
      <c r="K473" t="s">
        <v>26</v>
      </c>
      <c r="L473" s="1">
        <v>45412</v>
      </c>
    </row>
    <row r="474" spans="1:12" x14ac:dyDescent="0.3">
      <c r="A474" t="s">
        <v>1811</v>
      </c>
      <c r="B474" t="s">
        <v>1813</v>
      </c>
      <c r="C474" t="s">
        <v>1814</v>
      </c>
      <c r="D474" t="s">
        <v>162</v>
      </c>
      <c r="E474" t="s">
        <v>16</v>
      </c>
      <c r="F474" t="s">
        <v>158</v>
      </c>
      <c r="G474">
        <v>78</v>
      </c>
      <c r="H474">
        <v>2</v>
      </c>
      <c r="I474">
        <v>0</v>
      </c>
      <c r="J474">
        <v>25</v>
      </c>
      <c r="K474" t="s">
        <v>18</v>
      </c>
      <c r="L474" s="1">
        <v>45413</v>
      </c>
    </row>
    <row r="475" spans="1:12" x14ac:dyDescent="0.3">
      <c r="A475" t="s">
        <v>1815</v>
      </c>
      <c r="B475" t="s">
        <v>1817</v>
      </c>
      <c r="C475" t="s">
        <v>2004</v>
      </c>
      <c r="D475" t="s">
        <v>162</v>
      </c>
      <c r="E475" t="s">
        <v>45</v>
      </c>
      <c r="F475" t="s">
        <v>163</v>
      </c>
      <c r="G475">
        <v>48</v>
      </c>
      <c r="H475">
        <v>1</v>
      </c>
      <c r="I475">
        <v>0</v>
      </c>
      <c r="J475">
        <v>19</v>
      </c>
      <c r="K475" t="s">
        <v>26</v>
      </c>
      <c r="L475" s="1">
        <v>45327</v>
      </c>
    </row>
    <row r="476" spans="1:12" x14ac:dyDescent="0.3">
      <c r="A476" t="s">
        <v>1818</v>
      </c>
      <c r="B476" t="s">
        <v>1996</v>
      </c>
      <c r="C476" t="s">
        <v>1821</v>
      </c>
      <c r="D476" t="s">
        <v>162</v>
      </c>
      <c r="E476" t="s">
        <v>32</v>
      </c>
      <c r="F476" t="s">
        <v>168</v>
      </c>
      <c r="G476">
        <v>88</v>
      </c>
      <c r="H476">
        <v>2</v>
      </c>
      <c r="I476">
        <v>0.1</v>
      </c>
      <c r="J476">
        <v>25</v>
      </c>
      <c r="K476" t="s">
        <v>18</v>
      </c>
      <c r="L476" s="1">
        <v>45415</v>
      </c>
    </row>
    <row r="477" spans="1:12" x14ac:dyDescent="0.3">
      <c r="A477" t="s">
        <v>1822</v>
      </c>
      <c r="B477" t="s">
        <v>1824</v>
      </c>
      <c r="C477" t="s">
        <v>1825</v>
      </c>
      <c r="D477" t="s">
        <v>162</v>
      </c>
      <c r="E477" t="s">
        <v>16</v>
      </c>
      <c r="F477" t="s">
        <v>174</v>
      </c>
      <c r="G477">
        <v>53</v>
      </c>
      <c r="H477">
        <v>3</v>
      </c>
      <c r="I477">
        <v>0</v>
      </c>
      <c r="J477">
        <v>19</v>
      </c>
      <c r="K477" t="s">
        <v>26</v>
      </c>
      <c r="L477" s="1">
        <v>45387</v>
      </c>
    </row>
    <row r="478" spans="1:12" x14ac:dyDescent="0.3">
      <c r="A478" t="s">
        <v>1826</v>
      </c>
      <c r="B478" t="s">
        <v>1997</v>
      </c>
      <c r="C478" t="s">
        <v>1829</v>
      </c>
      <c r="D478" t="s">
        <v>183</v>
      </c>
      <c r="E478" t="s">
        <v>16</v>
      </c>
      <c r="F478" t="s">
        <v>17</v>
      </c>
      <c r="G478">
        <v>1330</v>
      </c>
      <c r="H478">
        <v>1</v>
      </c>
      <c r="I478">
        <v>0.1</v>
      </c>
      <c r="J478">
        <v>178</v>
      </c>
      <c r="K478" t="s">
        <v>18</v>
      </c>
      <c r="L478" s="1">
        <v>45417</v>
      </c>
    </row>
    <row r="479" spans="1:12" x14ac:dyDescent="0.3">
      <c r="A479" t="s">
        <v>1830</v>
      </c>
      <c r="B479" t="s">
        <v>1998</v>
      </c>
      <c r="C479" t="s">
        <v>1833</v>
      </c>
      <c r="D479" t="s">
        <v>183</v>
      </c>
      <c r="E479" t="s">
        <v>45</v>
      </c>
      <c r="F479" t="s">
        <v>25</v>
      </c>
      <c r="G479">
        <v>39</v>
      </c>
      <c r="H479">
        <v>2</v>
      </c>
      <c r="I479">
        <v>0</v>
      </c>
      <c r="J479">
        <v>24</v>
      </c>
      <c r="K479" t="s">
        <v>26</v>
      </c>
      <c r="L479" s="1">
        <v>45418</v>
      </c>
    </row>
    <row r="480" spans="1:12" x14ac:dyDescent="0.3">
      <c r="A480" t="s">
        <v>1834</v>
      </c>
      <c r="B480" t="s">
        <v>1836</v>
      </c>
      <c r="C480" t="s">
        <v>2004</v>
      </c>
      <c r="D480" t="s">
        <v>183</v>
      </c>
      <c r="E480" t="s">
        <v>32</v>
      </c>
      <c r="F480" t="s">
        <v>33</v>
      </c>
      <c r="G480">
        <v>-640</v>
      </c>
      <c r="H480">
        <v>1</v>
      </c>
      <c r="I480">
        <v>0</v>
      </c>
      <c r="J480">
        <v>-78</v>
      </c>
      <c r="K480" t="s">
        <v>18</v>
      </c>
      <c r="L480" s="1">
        <v>45419</v>
      </c>
    </row>
    <row r="481" spans="1:12" x14ac:dyDescent="0.3">
      <c r="A481" t="s">
        <v>1837</v>
      </c>
      <c r="B481" t="s">
        <v>1999</v>
      </c>
      <c r="C481" t="s">
        <v>104</v>
      </c>
      <c r="D481" t="s">
        <v>183</v>
      </c>
      <c r="E481" t="s">
        <v>16</v>
      </c>
      <c r="F481" t="s">
        <v>39</v>
      </c>
      <c r="G481">
        <v>1080</v>
      </c>
      <c r="H481">
        <v>1</v>
      </c>
      <c r="I481">
        <v>0.05</v>
      </c>
      <c r="J481">
        <v>138</v>
      </c>
      <c r="K481" t="s">
        <v>18</v>
      </c>
      <c r="L481" s="1">
        <v>45509</v>
      </c>
    </row>
    <row r="482" spans="1:12" x14ac:dyDescent="0.3">
      <c r="A482" t="s">
        <v>1840</v>
      </c>
      <c r="B482" t="s">
        <v>1842</v>
      </c>
      <c r="C482" t="s">
        <v>1843</v>
      </c>
      <c r="D482" t="s">
        <v>183</v>
      </c>
      <c r="E482" t="s">
        <v>45</v>
      </c>
      <c r="F482" t="s">
        <v>46</v>
      </c>
      <c r="G482">
        <v>80</v>
      </c>
      <c r="H482">
        <v>3</v>
      </c>
      <c r="I482">
        <v>0</v>
      </c>
      <c r="J482">
        <v>43</v>
      </c>
      <c r="K482" t="s">
        <v>26</v>
      </c>
      <c r="L482" s="1">
        <v>45540</v>
      </c>
    </row>
    <row r="483" spans="1:12" x14ac:dyDescent="0.3">
      <c r="A483" t="s">
        <v>1844</v>
      </c>
      <c r="B483" t="s">
        <v>1846</v>
      </c>
      <c r="C483" t="s">
        <v>1847</v>
      </c>
      <c r="D483" t="s">
        <v>183</v>
      </c>
      <c r="E483" t="s">
        <v>32</v>
      </c>
      <c r="F483" t="s">
        <v>53</v>
      </c>
      <c r="G483">
        <v>188</v>
      </c>
      <c r="H483">
        <v>4</v>
      </c>
      <c r="I483">
        <v>0.1</v>
      </c>
      <c r="J483">
        <v>46</v>
      </c>
      <c r="K483" t="s">
        <v>26</v>
      </c>
      <c r="L483" s="1">
        <v>45422</v>
      </c>
    </row>
    <row r="484" spans="1:12" x14ac:dyDescent="0.3">
      <c r="A484" t="s">
        <v>1848</v>
      </c>
      <c r="B484" t="s">
        <v>1850</v>
      </c>
      <c r="C484" t="s">
        <v>1851</v>
      </c>
      <c r="D484" t="s">
        <v>183</v>
      </c>
      <c r="E484" t="s">
        <v>16</v>
      </c>
      <c r="F484" t="s">
        <v>59</v>
      </c>
      <c r="G484">
        <v>338</v>
      </c>
      <c r="H484">
        <v>2</v>
      </c>
      <c r="I484">
        <v>0</v>
      </c>
      <c r="J484">
        <v>70</v>
      </c>
      <c r="K484" t="s">
        <v>18</v>
      </c>
      <c r="L484" s="1">
        <v>45601</v>
      </c>
    </row>
    <row r="485" spans="1:12" x14ac:dyDescent="0.3">
      <c r="A485" t="s">
        <v>1852</v>
      </c>
      <c r="B485" t="s">
        <v>1854</v>
      </c>
      <c r="C485" t="s">
        <v>2004</v>
      </c>
      <c r="D485" t="s">
        <v>183</v>
      </c>
      <c r="E485" t="s">
        <v>45</v>
      </c>
      <c r="F485" t="s">
        <v>63</v>
      </c>
      <c r="G485">
        <v>108</v>
      </c>
      <c r="H485">
        <v>1</v>
      </c>
      <c r="I485">
        <v>0.2</v>
      </c>
      <c r="J485">
        <v>43</v>
      </c>
      <c r="K485" t="s">
        <v>26</v>
      </c>
      <c r="L485" s="1">
        <v>45631</v>
      </c>
    </row>
    <row r="486" spans="1:12" x14ac:dyDescent="0.3">
      <c r="A486" t="s">
        <v>1855</v>
      </c>
      <c r="B486" t="s">
        <v>1857</v>
      </c>
      <c r="C486" t="s">
        <v>1858</v>
      </c>
      <c r="D486" t="s">
        <v>183</v>
      </c>
      <c r="E486" t="s">
        <v>32</v>
      </c>
      <c r="F486" t="s">
        <v>68</v>
      </c>
      <c r="G486">
        <v>1180</v>
      </c>
      <c r="H486">
        <v>1</v>
      </c>
      <c r="I486">
        <v>0.15</v>
      </c>
      <c r="J486">
        <v>138</v>
      </c>
      <c r="K486" t="s">
        <v>18</v>
      </c>
      <c r="L486" s="1">
        <v>45425</v>
      </c>
    </row>
    <row r="487" spans="1:12" hidden="1" x14ac:dyDescent="0.3">
      <c r="A487" t="s">
        <v>1859</v>
      </c>
      <c r="B487" t="s">
        <v>1861</v>
      </c>
      <c r="C487" t="s">
        <v>1862</v>
      </c>
      <c r="D487" t="s">
        <v>183</v>
      </c>
      <c r="E487" t="s">
        <v>16</v>
      </c>
      <c r="F487" t="s">
        <v>73</v>
      </c>
      <c r="G487">
        <v>138</v>
      </c>
      <c r="H487">
        <v>0</v>
      </c>
      <c r="I487">
        <v>0</v>
      </c>
      <c r="J487">
        <v>50</v>
      </c>
      <c r="K487" t="s">
        <v>26</v>
      </c>
      <c r="L487" s="1">
        <v>45426</v>
      </c>
    </row>
    <row r="488" spans="1:12" hidden="1" x14ac:dyDescent="0.3">
      <c r="A488" t="s">
        <v>1863</v>
      </c>
      <c r="B488" t="s">
        <v>1865</v>
      </c>
      <c r="C488" t="s">
        <v>1866</v>
      </c>
      <c r="D488" t="s">
        <v>183</v>
      </c>
      <c r="E488" t="s">
        <v>45</v>
      </c>
      <c r="F488" t="s">
        <v>79</v>
      </c>
      <c r="G488">
        <v>158</v>
      </c>
      <c r="H488">
        <v>-1</v>
      </c>
      <c r="I488">
        <v>0</v>
      </c>
      <c r="J488">
        <v>60</v>
      </c>
      <c r="K488" t="s">
        <v>18</v>
      </c>
      <c r="L488" s="1">
        <v>45427</v>
      </c>
    </row>
    <row r="489" spans="1:12" x14ac:dyDescent="0.3">
      <c r="A489" t="s">
        <v>1867</v>
      </c>
      <c r="B489" t="s">
        <v>1069</v>
      </c>
      <c r="C489" t="s">
        <v>1869</v>
      </c>
      <c r="D489" t="s">
        <v>183</v>
      </c>
      <c r="E489" t="s">
        <v>32</v>
      </c>
      <c r="F489" t="s">
        <v>84</v>
      </c>
      <c r="G489">
        <v>388</v>
      </c>
      <c r="H489">
        <v>1</v>
      </c>
      <c r="I489">
        <v>0.1</v>
      </c>
      <c r="J489">
        <v>70</v>
      </c>
      <c r="K489" t="s">
        <v>26</v>
      </c>
      <c r="L489" s="1">
        <v>45428</v>
      </c>
    </row>
    <row r="490" spans="1:12" x14ac:dyDescent="0.3">
      <c r="A490" t="s">
        <v>1870</v>
      </c>
      <c r="B490" t="s">
        <v>1872</v>
      </c>
      <c r="C490" t="s">
        <v>264</v>
      </c>
      <c r="D490" t="s">
        <v>183</v>
      </c>
      <c r="E490" t="s">
        <v>16</v>
      </c>
      <c r="F490" t="s">
        <v>89</v>
      </c>
      <c r="G490">
        <v>288</v>
      </c>
      <c r="H490">
        <v>2</v>
      </c>
      <c r="I490">
        <v>0.05</v>
      </c>
      <c r="J490">
        <v>60</v>
      </c>
      <c r="K490" t="s">
        <v>18</v>
      </c>
      <c r="L490" s="1">
        <v>45429</v>
      </c>
    </row>
    <row r="491" spans="1:12" x14ac:dyDescent="0.3">
      <c r="A491" t="s">
        <v>1873</v>
      </c>
      <c r="B491" t="s">
        <v>2000</v>
      </c>
      <c r="C491" t="s">
        <v>1876</v>
      </c>
      <c r="D491" t="s">
        <v>183</v>
      </c>
      <c r="E491" t="s">
        <v>45</v>
      </c>
      <c r="F491" t="s">
        <v>95</v>
      </c>
      <c r="G491">
        <v>188</v>
      </c>
      <c r="H491">
        <v>1</v>
      </c>
      <c r="I491">
        <v>0</v>
      </c>
      <c r="J491">
        <v>55</v>
      </c>
      <c r="K491" t="s">
        <v>26</v>
      </c>
      <c r="L491" s="1">
        <v>45430</v>
      </c>
    </row>
    <row r="492" spans="1:12" x14ac:dyDescent="0.3">
      <c r="A492" t="s">
        <v>1877</v>
      </c>
      <c r="B492" t="s">
        <v>1879</v>
      </c>
      <c r="C492" t="s">
        <v>1880</v>
      </c>
      <c r="D492" t="s">
        <v>183</v>
      </c>
      <c r="E492" t="s">
        <v>32</v>
      </c>
      <c r="F492" t="s">
        <v>100</v>
      </c>
      <c r="G492">
        <v>238</v>
      </c>
      <c r="H492">
        <v>1</v>
      </c>
      <c r="I492">
        <v>0.1</v>
      </c>
      <c r="J492">
        <v>50</v>
      </c>
      <c r="K492" t="s">
        <v>18</v>
      </c>
      <c r="L492" s="1">
        <v>45431</v>
      </c>
    </row>
    <row r="493" spans="1:12" x14ac:dyDescent="0.3">
      <c r="A493" t="s">
        <v>1881</v>
      </c>
      <c r="B493" t="s">
        <v>2001</v>
      </c>
      <c r="C493" t="s">
        <v>1573</v>
      </c>
      <c r="D493" t="s">
        <v>183</v>
      </c>
      <c r="E493" t="s">
        <v>16</v>
      </c>
      <c r="F493" t="s">
        <v>106</v>
      </c>
      <c r="G493">
        <v>238</v>
      </c>
      <c r="H493">
        <v>1</v>
      </c>
      <c r="I493">
        <v>0</v>
      </c>
      <c r="J493">
        <v>70</v>
      </c>
      <c r="K493" t="s">
        <v>26</v>
      </c>
      <c r="L493" s="1">
        <v>45432</v>
      </c>
    </row>
    <row r="494" spans="1:12" x14ac:dyDescent="0.3">
      <c r="A494" t="s">
        <v>1884</v>
      </c>
      <c r="B494" t="s">
        <v>1886</v>
      </c>
      <c r="C494" t="s">
        <v>1887</v>
      </c>
      <c r="D494" t="s">
        <v>183</v>
      </c>
      <c r="E494" t="s">
        <v>45</v>
      </c>
      <c r="F494" t="s">
        <v>112</v>
      </c>
      <c r="G494">
        <v>90</v>
      </c>
      <c r="H494">
        <v>2</v>
      </c>
      <c r="I494">
        <v>0.1</v>
      </c>
      <c r="J494">
        <v>26</v>
      </c>
      <c r="K494" t="s">
        <v>18</v>
      </c>
      <c r="L494" s="1">
        <v>45433</v>
      </c>
    </row>
    <row r="495" spans="1:12" x14ac:dyDescent="0.3">
      <c r="A495" t="s">
        <v>1888</v>
      </c>
      <c r="B495" t="s">
        <v>1890</v>
      </c>
      <c r="C495" t="s">
        <v>2004</v>
      </c>
      <c r="D495" t="s">
        <v>183</v>
      </c>
      <c r="E495" t="s">
        <v>32</v>
      </c>
      <c r="F495" t="s">
        <v>117</v>
      </c>
      <c r="G495">
        <v>1300</v>
      </c>
      <c r="H495">
        <v>1</v>
      </c>
      <c r="I495">
        <v>0.2</v>
      </c>
      <c r="J495">
        <v>188</v>
      </c>
      <c r="K495" t="s">
        <v>26</v>
      </c>
      <c r="L495" s="1">
        <v>45434</v>
      </c>
    </row>
    <row r="496" spans="1:12" x14ac:dyDescent="0.3">
      <c r="A496" t="s">
        <v>1891</v>
      </c>
      <c r="B496" t="s">
        <v>1893</v>
      </c>
      <c r="C496" t="s">
        <v>1894</v>
      </c>
      <c r="D496" t="s">
        <v>183</v>
      </c>
      <c r="E496" t="s">
        <v>16</v>
      </c>
      <c r="F496" t="s">
        <v>123</v>
      </c>
      <c r="G496">
        <v>900</v>
      </c>
      <c r="H496">
        <v>1</v>
      </c>
      <c r="I496">
        <v>0</v>
      </c>
      <c r="J496">
        <v>118</v>
      </c>
      <c r="K496" t="s">
        <v>18</v>
      </c>
      <c r="L496" s="1">
        <v>45435</v>
      </c>
    </row>
    <row r="497" spans="1:12" x14ac:dyDescent="0.3">
      <c r="A497" t="s">
        <v>1895</v>
      </c>
      <c r="B497" t="s">
        <v>1897</v>
      </c>
      <c r="C497" t="s">
        <v>1898</v>
      </c>
      <c r="D497" t="s">
        <v>183</v>
      </c>
      <c r="E497" t="s">
        <v>45</v>
      </c>
      <c r="F497" t="s">
        <v>129</v>
      </c>
      <c r="G497">
        <v>60</v>
      </c>
      <c r="H497">
        <v>3</v>
      </c>
      <c r="I497">
        <v>0</v>
      </c>
      <c r="J497">
        <v>20</v>
      </c>
      <c r="K497" t="s">
        <v>26</v>
      </c>
      <c r="L497" s="1">
        <v>45436</v>
      </c>
    </row>
    <row r="498" spans="1:12" x14ac:dyDescent="0.3">
      <c r="A498" t="s">
        <v>1899</v>
      </c>
      <c r="B498" t="s">
        <v>2002</v>
      </c>
      <c r="C498" t="s">
        <v>1902</v>
      </c>
      <c r="D498" t="s">
        <v>183</v>
      </c>
      <c r="E498" t="s">
        <v>32</v>
      </c>
      <c r="F498" t="s">
        <v>135</v>
      </c>
      <c r="G498">
        <v>-600</v>
      </c>
      <c r="H498">
        <v>1</v>
      </c>
      <c r="I498">
        <v>0</v>
      </c>
      <c r="J498">
        <v>-50</v>
      </c>
      <c r="K498" t="s">
        <v>18</v>
      </c>
      <c r="L498" s="1">
        <v>45437</v>
      </c>
    </row>
    <row r="499" spans="1:12" x14ac:dyDescent="0.3">
      <c r="A499" t="s">
        <v>1903</v>
      </c>
      <c r="B499" t="s">
        <v>1905</v>
      </c>
      <c r="C499" t="s">
        <v>1906</v>
      </c>
      <c r="D499" t="s">
        <v>183</v>
      </c>
      <c r="E499" t="s">
        <v>16</v>
      </c>
      <c r="F499" t="s">
        <v>141</v>
      </c>
      <c r="G499">
        <v>110</v>
      </c>
      <c r="H499">
        <v>2</v>
      </c>
      <c r="I499">
        <v>0.1</v>
      </c>
      <c r="J499">
        <v>43</v>
      </c>
      <c r="K499" t="s">
        <v>26</v>
      </c>
      <c r="L499" s="1">
        <v>45438</v>
      </c>
    </row>
    <row r="500" spans="1:12" x14ac:dyDescent="0.3">
      <c r="A500" t="s">
        <v>1907</v>
      </c>
      <c r="B500" t="s">
        <v>1909</v>
      </c>
      <c r="C500" t="s">
        <v>1910</v>
      </c>
      <c r="D500" t="s">
        <v>183</v>
      </c>
      <c r="E500" t="s">
        <v>45</v>
      </c>
      <c r="F500" t="s">
        <v>146</v>
      </c>
      <c r="G500">
        <v>43</v>
      </c>
      <c r="H500">
        <v>5</v>
      </c>
      <c r="I500">
        <v>0</v>
      </c>
      <c r="J500">
        <v>20</v>
      </c>
      <c r="K500" t="s">
        <v>18</v>
      </c>
      <c r="L500" s="1">
        <v>45439</v>
      </c>
    </row>
    <row r="501" spans="1:12" x14ac:dyDescent="0.3">
      <c r="A501" t="s">
        <v>1911</v>
      </c>
      <c r="B501" t="s">
        <v>1913</v>
      </c>
      <c r="C501" t="s">
        <v>1914</v>
      </c>
      <c r="D501" t="s">
        <v>183</v>
      </c>
      <c r="E501" t="s">
        <v>32</v>
      </c>
      <c r="F501" t="s">
        <v>152</v>
      </c>
      <c r="G501">
        <v>70</v>
      </c>
      <c r="H501">
        <v>4</v>
      </c>
      <c r="I501">
        <v>0</v>
      </c>
      <c r="J501">
        <v>26</v>
      </c>
      <c r="K501" t="s">
        <v>26</v>
      </c>
      <c r="L501" s="1">
        <v>45440</v>
      </c>
    </row>
    <row r="502" spans="1:12" x14ac:dyDescent="0.3">
      <c r="A502" t="s">
        <v>1915</v>
      </c>
      <c r="B502" t="s">
        <v>1917</v>
      </c>
      <c r="C502" t="s">
        <v>1918</v>
      </c>
      <c r="D502" t="s">
        <v>183</v>
      </c>
      <c r="E502" t="s">
        <v>16</v>
      </c>
      <c r="F502" t="s">
        <v>158</v>
      </c>
      <c r="G502">
        <v>80</v>
      </c>
      <c r="H502">
        <v>2</v>
      </c>
      <c r="I502">
        <v>0</v>
      </c>
      <c r="J502">
        <v>26</v>
      </c>
      <c r="K502" t="s">
        <v>18</v>
      </c>
      <c r="L502" s="1">
        <v>45441</v>
      </c>
    </row>
    <row r="503" spans="1:12" x14ac:dyDescent="0.3">
      <c r="A503" t="s">
        <v>1919</v>
      </c>
      <c r="B503" t="s">
        <v>1921</v>
      </c>
      <c r="C503" t="s">
        <v>2004</v>
      </c>
      <c r="D503" t="s">
        <v>183</v>
      </c>
      <c r="E503" t="s">
        <v>45</v>
      </c>
      <c r="F503" t="s">
        <v>163</v>
      </c>
      <c r="G503">
        <v>50</v>
      </c>
      <c r="H503">
        <v>1</v>
      </c>
      <c r="I503">
        <v>0</v>
      </c>
      <c r="J503">
        <v>20</v>
      </c>
      <c r="K503" t="s">
        <v>26</v>
      </c>
      <c r="L503" s="1">
        <v>45442</v>
      </c>
    </row>
    <row r="504" spans="1:12" x14ac:dyDescent="0.3">
      <c r="A504" t="s">
        <v>1922</v>
      </c>
      <c r="B504" t="s">
        <v>1924</v>
      </c>
      <c r="C504" t="s">
        <v>1925</v>
      </c>
      <c r="D504" t="s">
        <v>183</v>
      </c>
      <c r="E504" t="s">
        <v>32</v>
      </c>
      <c r="F504" t="s">
        <v>168</v>
      </c>
      <c r="G504">
        <v>90</v>
      </c>
      <c r="H504">
        <v>2</v>
      </c>
      <c r="I504">
        <v>0.1</v>
      </c>
      <c r="J504">
        <v>26</v>
      </c>
      <c r="K504" t="s">
        <v>18</v>
      </c>
      <c r="L504" s="1">
        <v>45443</v>
      </c>
    </row>
    <row r="505" spans="1:12" x14ac:dyDescent="0.3">
      <c r="A505" t="s">
        <v>1926</v>
      </c>
      <c r="B505" t="s">
        <v>1928</v>
      </c>
      <c r="C505" t="s">
        <v>1929</v>
      </c>
      <c r="D505" t="s">
        <v>183</v>
      </c>
      <c r="E505" t="s">
        <v>16</v>
      </c>
      <c r="F505" t="s">
        <v>174</v>
      </c>
      <c r="G505">
        <v>55</v>
      </c>
      <c r="H505">
        <v>3</v>
      </c>
      <c r="I505">
        <v>0</v>
      </c>
      <c r="J505">
        <v>20</v>
      </c>
      <c r="K505" t="s">
        <v>26</v>
      </c>
      <c r="L505" s="1">
        <v>45297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A3E35-E0F4-471C-A0CF-466A24B953B8}">
  <dimension ref="A1:N433"/>
  <sheetViews>
    <sheetView topLeftCell="A2" workbookViewId="0">
      <selection activeCell="M3" sqref="M3"/>
    </sheetView>
  </sheetViews>
  <sheetFormatPr defaultRowHeight="14.4" x14ac:dyDescent="0.3"/>
  <cols>
    <col min="1" max="1" width="10" bestFit="1" customWidth="1"/>
    <col min="2" max="2" width="20.44140625" bestFit="1" customWidth="1"/>
    <col min="3" max="3" width="16" bestFit="1" customWidth="1"/>
    <col min="4" max="4" width="7.5546875" bestFit="1" customWidth="1"/>
    <col min="5" max="5" width="10.77734375" bestFit="1" customWidth="1"/>
    <col min="6" max="6" width="15.44140625" bestFit="1" customWidth="1"/>
    <col min="7" max="7" width="14.77734375" bestFit="1" customWidth="1"/>
    <col min="8" max="9" width="10.5546875" bestFit="1" customWidth="1"/>
    <col min="10" max="10" width="7.88671875" bestFit="1" customWidth="1"/>
    <col min="11" max="11" width="14.77734375" bestFit="1" customWidth="1"/>
    <col min="12" max="12" width="10.33203125" bestFit="1" customWidth="1"/>
    <col min="13" max="13" width="13.6640625" bestFit="1" customWidth="1"/>
    <col min="14" max="14" width="14.88671875" style="3" bestFit="1" customWidth="1"/>
  </cols>
  <sheetData>
    <row r="1" spans="1:14" x14ac:dyDescent="0.3">
      <c r="A1" t="s">
        <v>1930</v>
      </c>
      <c r="B1" t="s">
        <v>1</v>
      </c>
      <c r="C1" t="s">
        <v>2005</v>
      </c>
      <c r="D1" t="s">
        <v>3</v>
      </c>
      <c r="E1" t="s">
        <v>2003</v>
      </c>
      <c r="F1" t="s">
        <v>5</v>
      </c>
      <c r="G1" t="s">
        <v>6</v>
      </c>
      <c r="H1" t="s">
        <v>7</v>
      </c>
      <c r="I1" t="s">
        <v>8</v>
      </c>
      <c r="J1" t="s">
        <v>9</v>
      </c>
      <c r="K1" t="s">
        <v>10</v>
      </c>
      <c r="L1" t="s">
        <v>0</v>
      </c>
      <c r="M1" t="s">
        <v>2006</v>
      </c>
      <c r="N1" s="3" t="s">
        <v>2007</v>
      </c>
    </row>
    <row r="2" spans="1:14" x14ac:dyDescent="0.3">
      <c r="A2" t="s">
        <v>11</v>
      </c>
      <c r="B2" t="s">
        <v>1931</v>
      </c>
      <c r="C2" t="s">
        <v>14</v>
      </c>
      <c r="D2" t="s">
        <v>15</v>
      </c>
      <c r="E2" t="s">
        <v>16</v>
      </c>
      <c r="F2" t="s">
        <v>17</v>
      </c>
      <c r="G2">
        <v>1200</v>
      </c>
      <c r="H2">
        <v>1</v>
      </c>
      <c r="I2">
        <v>0.1</v>
      </c>
      <c r="J2">
        <v>150</v>
      </c>
      <c r="K2" t="s">
        <v>18</v>
      </c>
      <c r="L2" s="1">
        <v>44941</v>
      </c>
      <c r="M2" s="2" t="str">
        <f>TEXT(working_data_2[[#This Row],[Date]], "mmm-yy")</f>
        <v>Jan-23</v>
      </c>
      <c r="N2" s="4">
        <f>IFERROR(working_data_2[[#This Row],[Profit]]/working_data_2[[#This Row],[Sales Amount]], 0)</f>
        <v>0.125</v>
      </c>
    </row>
    <row r="3" spans="1:14" x14ac:dyDescent="0.3">
      <c r="A3" t="s">
        <v>19</v>
      </c>
      <c r="B3" t="s">
        <v>1932</v>
      </c>
      <c r="C3" t="s">
        <v>22</v>
      </c>
      <c r="D3" t="s">
        <v>23</v>
      </c>
      <c r="E3" t="s">
        <v>45</v>
      </c>
      <c r="F3" t="s">
        <v>25</v>
      </c>
      <c r="G3">
        <v>25</v>
      </c>
      <c r="H3">
        <v>2</v>
      </c>
      <c r="I3">
        <v>0</v>
      </c>
      <c r="J3">
        <v>10</v>
      </c>
      <c r="K3" t="s">
        <v>26</v>
      </c>
      <c r="L3" s="1">
        <v>44942</v>
      </c>
      <c r="M3" s="2" t="str">
        <f>TEXT(working_data_2[[#This Row],[Date]], "mmm-yy")</f>
        <v>Jan-23</v>
      </c>
      <c r="N3" s="4">
        <f>IFERROR(working_data_2[[#This Row],[Profit]]/working_data_2[[#This Row],[Sales Amount]], 0)</f>
        <v>0.4</v>
      </c>
    </row>
    <row r="4" spans="1:14" x14ac:dyDescent="0.3">
      <c r="A4" t="s">
        <v>34</v>
      </c>
      <c r="B4" t="s">
        <v>1933</v>
      </c>
      <c r="C4" t="s">
        <v>37</v>
      </c>
      <c r="D4" t="s">
        <v>38</v>
      </c>
      <c r="E4" t="s">
        <v>16</v>
      </c>
      <c r="F4" t="s">
        <v>39</v>
      </c>
      <c r="G4">
        <v>800</v>
      </c>
      <c r="H4">
        <v>1</v>
      </c>
      <c r="I4">
        <v>0.05</v>
      </c>
      <c r="J4">
        <v>100</v>
      </c>
      <c r="K4" t="s">
        <v>18</v>
      </c>
      <c r="L4" s="1">
        <v>44944</v>
      </c>
      <c r="M4" s="2" t="str">
        <f>TEXT(working_data_2[[#This Row],[Date]], "mmm-yy")</f>
        <v>Jan-23</v>
      </c>
      <c r="N4" s="4">
        <f>IFERROR(working_data_2[[#This Row],[Profit]]/working_data_2[[#This Row],[Sales Amount]], 0)</f>
        <v>0.125</v>
      </c>
    </row>
    <row r="5" spans="1:14" x14ac:dyDescent="0.3">
      <c r="A5" t="s">
        <v>41</v>
      </c>
      <c r="B5" t="s">
        <v>43</v>
      </c>
      <c r="C5" t="s">
        <v>44</v>
      </c>
      <c r="D5" t="s">
        <v>31</v>
      </c>
      <c r="E5" t="s">
        <v>45</v>
      </c>
      <c r="F5" t="s">
        <v>46</v>
      </c>
      <c r="G5">
        <v>50</v>
      </c>
      <c r="H5">
        <v>3</v>
      </c>
      <c r="I5">
        <v>0</v>
      </c>
      <c r="J5">
        <v>15</v>
      </c>
      <c r="K5" t="s">
        <v>26</v>
      </c>
      <c r="L5" s="1">
        <v>44945</v>
      </c>
      <c r="M5" s="2" t="str">
        <f>TEXT(working_data_2[[#This Row],[Date]], "mmm-yy")</f>
        <v>Jan-23</v>
      </c>
      <c r="N5" s="4">
        <f>IFERROR(working_data_2[[#This Row],[Profit]]/working_data_2[[#This Row],[Sales Amount]], 0)</f>
        <v>0.3</v>
      </c>
    </row>
    <row r="6" spans="1:14" x14ac:dyDescent="0.3">
      <c r="A6" t="s">
        <v>47</v>
      </c>
      <c r="B6" t="s">
        <v>49</v>
      </c>
      <c r="C6" t="s">
        <v>50</v>
      </c>
      <c r="D6" t="s">
        <v>51</v>
      </c>
      <c r="E6" t="s">
        <v>32</v>
      </c>
      <c r="F6" t="s">
        <v>53</v>
      </c>
      <c r="G6">
        <v>150</v>
      </c>
      <c r="H6">
        <v>4</v>
      </c>
      <c r="I6">
        <v>0.1</v>
      </c>
      <c r="J6">
        <v>20</v>
      </c>
      <c r="K6" t="s">
        <v>26</v>
      </c>
      <c r="L6" s="1">
        <v>44946</v>
      </c>
      <c r="M6" s="2" t="str">
        <f>TEXT(working_data_2[[#This Row],[Date]], "mmm-yy")</f>
        <v>Jan-23</v>
      </c>
      <c r="N6" s="4">
        <f>IFERROR(working_data_2[[#This Row],[Profit]]/working_data_2[[#This Row],[Sales Amount]], 0)</f>
        <v>0.13333333333333333</v>
      </c>
    </row>
    <row r="7" spans="1:14" x14ac:dyDescent="0.3">
      <c r="A7" t="s">
        <v>54</v>
      </c>
      <c r="B7" t="s">
        <v>56</v>
      </c>
      <c r="C7" t="s">
        <v>57</v>
      </c>
      <c r="D7" t="s">
        <v>58</v>
      </c>
      <c r="E7" t="s">
        <v>16</v>
      </c>
      <c r="F7" t="s">
        <v>59</v>
      </c>
      <c r="G7">
        <v>300</v>
      </c>
      <c r="H7">
        <v>2</v>
      </c>
      <c r="I7">
        <v>0</v>
      </c>
      <c r="J7">
        <v>40</v>
      </c>
      <c r="K7" t="s">
        <v>18</v>
      </c>
      <c r="L7" s="1">
        <v>44947</v>
      </c>
      <c r="M7" s="2" t="str">
        <f>TEXT(working_data_2[[#This Row],[Date]], "mmm-yy")</f>
        <v>Jan-23</v>
      </c>
      <c r="N7" s="4">
        <f>IFERROR(working_data_2[[#This Row],[Profit]]/working_data_2[[#This Row],[Sales Amount]], 0)</f>
        <v>0.13333333333333333</v>
      </c>
    </row>
    <row r="8" spans="1:14" x14ac:dyDescent="0.3">
      <c r="A8" t="s">
        <v>60</v>
      </c>
      <c r="B8" t="s">
        <v>62</v>
      </c>
      <c r="C8" t="s">
        <v>2004</v>
      </c>
      <c r="D8" t="s">
        <v>23</v>
      </c>
      <c r="E8" t="s">
        <v>45</v>
      </c>
      <c r="F8" t="s">
        <v>63</v>
      </c>
      <c r="G8">
        <v>75</v>
      </c>
      <c r="H8">
        <v>1</v>
      </c>
      <c r="I8">
        <v>0.2</v>
      </c>
      <c r="J8">
        <v>15</v>
      </c>
      <c r="K8" t="s">
        <v>26</v>
      </c>
      <c r="L8" s="1">
        <v>44948</v>
      </c>
      <c r="M8" s="2" t="str">
        <f>TEXT(working_data_2[[#This Row],[Date]], "mmm-yy")</f>
        <v>Jan-23</v>
      </c>
      <c r="N8" s="4">
        <f>IFERROR(working_data_2[[#This Row],[Profit]]/working_data_2[[#This Row],[Sales Amount]], 0)</f>
        <v>0.2</v>
      </c>
    </row>
    <row r="9" spans="1:14" x14ac:dyDescent="0.3">
      <c r="A9" t="s">
        <v>64</v>
      </c>
      <c r="B9" t="s">
        <v>66</v>
      </c>
      <c r="C9" t="s">
        <v>67</v>
      </c>
      <c r="D9" t="s">
        <v>31</v>
      </c>
      <c r="E9" t="s">
        <v>32</v>
      </c>
      <c r="F9" t="s">
        <v>68</v>
      </c>
      <c r="G9">
        <v>900</v>
      </c>
      <c r="H9">
        <v>1</v>
      </c>
      <c r="I9">
        <v>0.15</v>
      </c>
      <c r="J9">
        <v>100</v>
      </c>
      <c r="K9" t="s">
        <v>18</v>
      </c>
      <c r="L9" s="1">
        <v>44949</v>
      </c>
      <c r="M9" s="2" t="str">
        <f>TEXT(working_data_2[[#This Row],[Date]], "mmm-yy")</f>
        <v>Jan-23</v>
      </c>
      <c r="N9" s="4">
        <f>IFERROR(working_data_2[[#This Row],[Profit]]/working_data_2[[#This Row],[Sales Amount]], 0)</f>
        <v>0.1111111111111111</v>
      </c>
    </row>
    <row r="10" spans="1:14" x14ac:dyDescent="0.3">
      <c r="A10" t="s">
        <v>80</v>
      </c>
      <c r="B10" t="s">
        <v>82</v>
      </c>
      <c r="C10" t="s">
        <v>83</v>
      </c>
      <c r="D10" t="s">
        <v>23</v>
      </c>
      <c r="E10" t="s">
        <v>32</v>
      </c>
      <c r="F10" t="s">
        <v>84</v>
      </c>
      <c r="G10">
        <v>350</v>
      </c>
      <c r="H10">
        <v>1</v>
      </c>
      <c r="I10">
        <v>0.1</v>
      </c>
      <c r="J10">
        <v>40</v>
      </c>
      <c r="K10" t="s">
        <v>26</v>
      </c>
      <c r="L10" s="1">
        <v>44952</v>
      </c>
      <c r="M10" s="2" t="str">
        <f>TEXT(working_data_2[[#This Row],[Date]], "mmm-yy")</f>
        <v>Jan-23</v>
      </c>
      <c r="N10" s="4">
        <f>IFERROR(working_data_2[[#This Row],[Profit]]/working_data_2[[#This Row],[Sales Amount]], 0)</f>
        <v>0.11428571428571428</v>
      </c>
    </row>
    <row r="11" spans="1:14" x14ac:dyDescent="0.3">
      <c r="A11" t="s">
        <v>85</v>
      </c>
      <c r="B11" t="s">
        <v>87</v>
      </c>
      <c r="C11" t="s">
        <v>88</v>
      </c>
      <c r="D11" t="s">
        <v>31</v>
      </c>
      <c r="E11" t="s">
        <v>16</v>
      </c>
      <c r="F11" t="s">
        <v>89</v>
      </c>
      <c r="G11">
        <v>250</v>
      </c>
      <c r="H11">
        <v>2</v>
      </c>
      <c r="I11">
        <v>0.05</v>
      </c>
      <c r="J11">
        <v>30</v>
      </c>
      <c r="K11" t="s">
        <v>18</v>
      </c>
      <c r="L11" s="1">
        <v>44953</v>
      </c>
      <c r="M11" s="2" t="str">
        <f>TEXT(working_data_2[[#This Row],[Date]], "mmm-yy")</f>
        <v>Jan-23</v>
      </c>
      <c r="N11" s="4">
        <f>IFERROR(working_data_2[[#This Row],[Profit]]/working_data_2[[#This Row],[Sales Amount]], 0)</f>
        <v>0.12</v>
      </c>
    </row>
    <row r="12" spans="1:14" x14ac:dyDescent="0.3">
      <c r="A12" t="s">
        <v>90</v>
      </c>
      <c r="B12" t="s">
        <v>92</v>
      </c>
      <c r="C12" t="s">
        <v>93</v>
      </c>
      <c r="D12" t="s">
        <v>94</v>
      </c>
      <c r="E12" t="s">
        <v>45</v>
      </c>
      <c r="F12" t="s">
        <v>95</v>
      </c>
      <c r="G12">
        <v>150</v>
      </c>
      <c r="H12">
        <v>1</v>
      </c>
      <c r="I12">
        <v>0</v>
      </c>
      <c r="J12">
        <v>25</v>
      </c>
      <c r="K12" t="s">
        <v>26</v>
      </c>
      <c r="L12" s="1">
        <v>44954</v>
      </c>
      <c r="M12" s="2" t="str">
        <f>TEXT(working_data_2[[#This Row],[Date]], "mmm-yy")</f>
        <v>Jan-23</v>
      </c>
      <c r="N12" s="4">
        <f>IFERROR(working_data_2[[#This Row],[Profit]]/working_data_2[[#This Row],[Sales Amount]], 0)</f>
        <v>0.16666666666666666</v>
      </c>
    </row>
    <row r="13" spans="1:14" x14ac:dyDescent="0.3">
      <c r="A13" t="s">
        <v>96</v>
      </c>
      <c r="B13" t="s">
        <v>98</v>
      </c>
      <c r="C13" t="s">
        <v>99</v>
      </c>
      <c r="D13" t="s">
        <v>31</v>
      </c>
      <c r="E13" t="s">
        <v>32</v>
      </c>
      <c r="F13" t="s">
        <v>100</v>
      </c>
      <c r="G13">
        <v>200</v>
      </c>
      <c r="H13">
        <v>1</v>
      </c>
      <c r="I13">
        <v>0.1</v>
      </c>
      <c r="J13">
        <v>20</v>
      </c>
      <c r="K13" t="s">
        <v>18</v>
      </c>
      <c r="L13" s="1">
        <v>44955</v>
      </c>
      <c r="M13" s="2" t="str">
        <f>TEXT(working_data_2[[#This Row],[Date]], "mmm-yy")</f>
        <v>Jan-23</v>
      </c>
      <c r="N13" s="4">
        <f>IFERROR(working_data_2[[#This Row],[Profit]]/working_data_2[[#This Row],[Sales Amount]], 0)</f>
        <v>0.1</v>
      </c>
    </row>
    <row r="14" spans="1:14" x14ac:dyDescent="0.3">
      <c r="A14" t="s">
        <v>101</v>
      </c>
      <c r="B14" t="s">
        <v>103</v>
      </c>
      <c r="C14" t="s">
        <v>104</v>
      </c>
      <c r="D14" t="s">
        <v>105</v>
      </c>
      <c r="E14" t="s">
        <v>16</v>
      </c>
      <c r="F14" t="s">
        <v>106</v>
      </c>
      <c r="G14">
        <v>200</v>
      </c>
      <c r="H14">
        <v>1</v>
      </c>
      <c r="I14">
        <v>0</v>
      </c>
      <c r="J14">
        <v>40</v>
      </c>
      <c r="K14" t="s">
        <v>26</v>
      </c>
      <c r="L14" s="1">
        <v>44956</v>
      </c>
      <c r="M14" s="2" t="str">
        <f>TEXT(working_data_2[[#This Row],[Date]], "mmm-yy")</f>
        <v>Jan-23</v>
      </c>
      <c r="N14" s="4">
        <f>IFERROR(working_data_2[[#This Row],[Profit]]/working_data_2[[#This Row],[Sales Amount]], 0)</f>
        <v>0.2</v>
      </c>
    </row>
    <row r="15" spans="1:14" x14ac:dyDescent="0.3">
      <c r="A15" t="s">
        <v>107</v>
      </c>
      <c r="B15" t="s">
        <v>109</v>
      </c>
      <c r="C15" t="s">
        <v>110</v>
      </c>
      <c r="D15" t="s">
        <v>111</v>
      </c>
      <c r="E15" t="s">
        <v>45</v>
      </c>
      <c r="F15" t="s">
        <v>112</v>
      </c>
      <c r="G15">
        <v>60</v>
      </c>
      <c r="H15">
        <v>2</v>
      </c>
      <c r="I15">
        <v>0.1</v>
      </c>
      <c r="J15">
        <v>10</v>
      </c>
      <c r="K15" t="s">
        <v>18</v>
      </c>
      <c r="L15" s="1">
        <v>44957</v>
      </c>
      <c r="M15" s="2" t="str">
        <f>TEXT(working_data_2[[#This Row],[Date]], "mmm-yy")</f>
        <v>Jan-23</v>
      </c>
      <c r="N15" s="4">
        <f>IFERROR(working_data_2[[#This Row],[Profit]]/working_data_2[[#This Row],[Sales Amount]], 0)</f>
        <v>0.16666666666666666</v>
      </c>
    </row>
    <row r="16" spans="1:14" x14ac:dyDescent="0.3">
      <c r="A16" t="s">
        <v>113</v>
      </c>
      <c r="B16" t="s">
        <v>115</v>
      </c>
      <c r="C16" t="s">
        <v>2004</v>
      </c>
      <c r="D16" t="s">
        <v>116</v>
      </c>
      <c r="E16" t="s">
        <v>32</v>
      </c>
      <c r="F16" t="s">
        <v>117</v>
      </c>
      <c r="G16">
        <v>1000</v>
      </c>
      <c r="H16">
        <v>1</v>
      </c>
      <c r="I16">
        <v>0.2</v>
      </c>
      <c r="J16">
        <v>150</v>
      </c>
      <c r="K16" t="s">
        <v>26</v>
      </c>
      <c r="L16" s="1">
        <v>44928</v>
      </c>
      <c r="M16" s="2" t="str">
        <f>TEXT(working_data_2[[#This Row],[Date]], "mmm-yy")</f>
        <v>Jan-23</v>
      </c>
      <c r="N16" s="4">
        <f>IFERROR(working_data_2[[#This Row],[Profit]]/working_data_2[[#This Row],[Sales Amount]], 0)</f>
        <v>0.15</v>
      </c>
    </row>
    <row r="17" spans="1:14" x14ac:dyDescent="0.3">
      <c r="A17" t="s">
        <v>118</v>
      </c>
      <c r="B17" t="s">
        <v>120</v>
      </c>
      <c r="C17" t="s">
        <v>121</v>
      </c>
      <c r="D17" t="s">
        <v>122</v>
      </c>
      <c r="E17" t="s">
        <v>16</v>
      </c>
      <c r="F17" t="s">
        <v>123</v>
      </c>
      <c r="G17">
        <v>600</v>
      </c>
      <c r="H17">
        <v>1</v>
      </c>
      <c r="I17">
        <v>0</v>
      </c>
      <c r="J17">
        <v>80</v>
      </c>
      <c r="K17" t="s">
        <v>18</v>
      </c>
      <c r="L17" s="1">
        <v>44959</v>
      </c>
      <c r="M17" s="2" t="str">
        <f>TEXT(working_data_2[[#This Row],[Date]], "mmm-yy")</f>
        <v>Feb-23</v>
      </c>
      <c r="N17" s="4">
        <f>IFERROR(working_data_2[[#This Row],[Profit]]/working_data_2[[#This Row],[Sales Amount]], 0)</f>
        <v>0.13333333333333333</v>
      </c>
    </row>
    <row r="18" spans="1:14" x14ac:dyDescent="0.3">
      <c r="A18" t="s">
        <v>124</v>
      </c>
      <c r="B18" t="s">
        <v>126</v>
      </c>
      <c r="C18" t="s">
        <v>127</v>
      </c>
      <c r="D18" t="s">
        <v>128</v>
      </c>
      <c r="E18" t="s">
        <v>45</v>
      </c>
      <c r="F18" t="s">
        <v>129</v>
      </c>
      <c r="G18">
        <v>30</v>
      </c>
      <c r="H18">
        <v>3</v>
      </c>
      <c r="I18">
        <v>0</v>
      </c>
      <c r="J18">
        <v>5</v>
      </c>
      <c r="K18" t="s">
        <v>26</v>
      </c>
      <c r="L18" s="1">
        <v>44960</v>
      </c>
      <c r="M18" s="2" t="str">
        <f>TEXT(working_data_2[[#This Row],[Date]], "mmm-yy")</f>
        <v>Feb-23</v>
      </c>
      <c r="N18" s="4">
        <f>IFERROR(working_data_2[[#This Row],[Profit]]/working_data_2[[#This Row],[Sales Amount]], 0)</f>
        <v>0.16666666666666666</v>
      </c>
    </row>
    <row r="19" spans="1:14" x14ac:dyDescent="0.3">
      <c r="A19" t="s">
        <v>136</v>
      </c>
      <c r="B19" t="s">
        <v>138</v>
      </c>
      <c r="C19" t="s">
        <v>139</v>
      </c>
      <c r="D19" t="s">
        <v>140</v>
      </c>
      <c r="E19" t="s">
        <v>16</v>
      </c>
      <c r="F19" t="s">
        <v>141</v>
      </c>
      <c r="G19">
        <v>80</v>
      </c>
      <c r="H19">
        <v>2</v>
      </c>
      <c r="I19">
        <v>0.1</v>
      </c>
      <c r="J19">
        <v>15</v>
      </c>
      <c r="K19" t="s">
        <v>26</v>
      </c>
      <c r="L19" s="1">
        <v>44962</v>
      </c>
      <c r="M19" s="2" t="str">
        <f>TEXT(working_data_2[[#This Row],[Date]], "mmm-yy")</f>
        <v>Feb-23</v>
      </c>
      <c r="N19" s="4">
        <f>IFERROR(working_data_2[[#This Row],[Profit]]/working_data_2[[#This Row],[Sales Amount]], 0)</f>
        <v>0.1875</v>
      </c>
    </row>
    <row r="20" spans="1:14" x14ac:dyDescent="0.3">
      <c r="A20" t="s">
        <v>142</v>
      </c>
      <c r="B20" t="s">
        <v>144</v>
      </c>
      <c r="C20" t="s">
        <v>145</v>
      </c>
      <c r="D20" t="s">
        <v>31</v>
      </c>
      <c r="E20" t="s">
        <v>45</v>
      </c>
      <c r="F20" t="s">
        <v>146</v>
      </c>
      <c r="G20">
        <v>15</v>
      </c>
      <c r="H20">
        <v>5</v>
      </c>
      <c r="I20">
        <v>0</v>
      </c>
      <c r="J20">
        <v>5</v>
      </c>
      <c r="K20" t="s">
        <v>18</v>
      </c>
      <c r="L20" s="1">
        <v>45079</v>
      </c>
      <c r="M20" s="2" t="str">
        <f>TEXT(working_data_2[[#This Row],[Date]], "mmm-yy")</f>
        <v>Jun-23</v>
      </c>
      <c r="N20" s="4">
        <f>IFERROR(working_data_2[[#This Row],[Profit]]/working_data_2[[#This Row],[Sales Amount]], 0)</f>
        <v>0.33333333333333331</v>
      </c>
    </row>
    <row r="21" spans="1:14" x14ac:dyDescent="0.3">
      <c r="A21" t="s">
        <v>147</v>
      </c>
      <c r="B21" t="s">
        <v>149</v>
      </c>
      <c r="C21" t="s">
        <v>150</v>
      </c>
      <c r="D21" t="s">
        <v>151</v>
      </c>
      <c r="E21" t="s">
        <v>32</v>
      </c>
      <c r="F21" t="s">
        <v>152</v>
      </c>
      <c r="G21">
        <v>40</v>
      </c>
      <c r="H21">
        <v>4</v>
      </c>
      <c r="I21">
        <v>0</v>
      </c>
      <c r="J21">
        <v>10</v>
      </c>
      <c r="K21" t="s">
        <v>26</v>
      </c>
      <c r="L21" s="1">
        <v>44964</v>
      </c>
      <c r="M21" s="2" t="str">
        <f>TEXT(working_data_2[[#This Row],[Date]], "mmm-yy")</f>
        <v>Feb-23</v>
      </c>
      <c r="N21" s="4">
        <f>IFERROR(working_data_2[[#This Row],[Profit]]/working_data_2[[#This Row],[Sales Amount]], 0)</f>
        <v>0.25</v>
      </c>
    </row>
    <row r="22" spans="1:14" x14ac:dyDescent="0.3">
      <c r="A22" t="s">
        <v>153</v>
      </c>
      <c r="B22" t="s">
        <v>155</v>
      </c>
      <c r="C22" t="s">
        <v>156</v>
      </c>
      <c r="D22" t="s">
        <v>157</v>
      </c>
      <c r="E22" t="s">
        <v>16</v>
      </c>
      <c r="F22" t="s">
        <v>158</v>
      </c>
      <c r="G22">
        <v>50</v>
      </c>
      <c r="H22">
        <v>2</v>
      </c>
      <c r="I22">
        <v>0</v>
      </c>
      <c r="J22">
        <v>10</v>
      </c>
      <c r="K22" t="s">
        <v>18</v>
      </c>
      <c r="L22" s="1">
        <v>44965</v>
      </c>
      <c r="M22" s="2" t="str">
        <f>TEXT(working_data_2[[#This Row],[Date]], "mmm-yy")</f>
        <v>Feb-23</v>
      </c>
      <c r="N22" s="4">
        <f>IFERROR(working_data_2[[#This Row],[Profit]]/working_data_2[[#This Row],[Sales Amount]], 0)</f>
        <v>0.2</v>
      </c>
    </row>
    <row r="23" spans="1:14" x14ac:dyDescent="0.3">
      <c r="A23" t="s">
        <v>159</v>
      </c>
      <c r="B23" t="s">
        <v>161</v>
      </c>
      <c r="C23" t="s">
        <v>2004</v>
      </c>
      <c r="D23" t="s">
        <v>162</v>
      </c>
      <c r="E23" t="s">
        <v>45</v>
      </c>
      <c r="F23" t="s">
        <v>163</v>
      </c>
      <c r="G23">
        <v>20</v>
      </c>
      <c r="H23">
        <v>1</v>
      </c>
      <c r="I23">
        <v>0</v>
      </c>
      <c r="J23">
        <v>5</v>
      </c>
      <c r="K23" t="s">
        <v>26</v>
      </c>
      <c r="L23" s="1">
        <v>45171</v>
      </c>
      <c r="M23" s="2" t="str">
        <f>TEXT(working_data_2[[#This Row],[Date]], "mmm-yy")</f>
        <v>Sep-23</v>
      </c>
      <c r="N23" s="4">
        <f>IFERROR(working_data_2[[#This Row],[Profit]]/working_data_2[[#This Row],[Sales Amount]], 0)</f>
        <v>0.25</v>
      </c>
    </row>
    <row r="24" spans="1:14" x14ac:dyDescent="0.3">
      <c r="A24" t="s">
        <v>164</v>
      </c>
      <c r="B24" t="s">
        <v>166</v>
      </c>
      <c r="C24" t="s">
        <v>167</v>
      </c>
      <c r="D24" t="s">
        <v>151</v>
      </c>
      <c r="E24" t="s">
        <v>32</v>
      </c>
      <c r="F24" t="s">
        <v>168</v>
      </c>
      <c r="G24">
        <v>60</v>
      </c>
      <c r="H24">
        <v>2</v>
      </c>
      <c r="I24">
        <v>0.1</v>
      </c>
      <c r="J24">
        <v>10</v>
      </c>
      <c r="K24" t="s">
        <v>18</v>
      </c>
      <c r="L24" s="1">
        <v>44967</v>
      </c>
      <c r="M24" s="2" t="str">
        <f>TEXT(working_data_2[[#This Row],[Date]], "mmm-yy")</f>
        <v>Feb-23</v>
      </c>
      <c r="N24" s="4">
        <f>IFERROR(working_data_2[[#This Row],[Profit]]/working_data_2[[#This Row],[Sales Amount]], 0)</f>
        <v>0.16666666666666666</v>
      </c>
    </row>
    <row r="25" spans="1:14" x14ac:dyDescent="0.3">
      <c r="A25" t="s">
        <v>169</v>
      </c>
      <c r="B25" t="s">
        <v>171</v>
      </c>
      <c r="C25" t="s">
        <v>172</v>
      </c>
      <c r="D25" t="s">
        <v>173</v>
      </c>
      <c r="E25" t="s">
        <v>16</v>
      </c>
      <c r="F25" t="s">
        <v>174</v>
      </c>
      <c r="G25">
        <v>25</v>
      </c>
      <c r="H25">
        <v>3</v>
      </c>
      <c r="I25">
        <v>0</v>
      </c>
      <c r="J25">
        <v>5</v>
      </c>
      <c r="K25" t="s">
        <v>26</v>
      </c>
      <c r="L25" s="1">
        <v>45232</v>
      </c>
      <c r="M25" s="2" t="str">
        <f>TEXT(working_data_2[[#This Row],[Date]], "mmm-yy")</f>
        <v>Nov-23</v>
      </c>
      <c r="N25" s="4">
        <f>IFERROR(working_data_2[[#This Row],[Profit]]/working_data_2[[#This Row],[Sales Amount]], 0)</f>
        <v>0.2</v>
      </c>
    </row>
    <row r="26" spans="1:14" x14ac:dyDescent="0.3">
      <c r="A26" t="s">
        <v>175</v>
      </c>
      <c r="B26" t="s">
        <v>1934</v>
      </c>
      <c r="C26" t="s">
        <v>178</v>
      </c>
      <c r="D26" t="s">
        <v>162</v>
      </c>
      <c r="E26" t="s">
        <v>16</v>
      </c>
      <c r="F26" t="s">
        <v>17</v>
      </c>
      <c r="G26">
        <v>1100</v>
      </c>
      <c r="H26">
        <v>1</v>
      </c>
      <c r="I26">
        <v>0.05</v>
      </c>
      <c r="J26">
        <v>100</v>
      </c>
      <c r="K26" t="s">
        <v>18</v>
      </c>
      <c r="L26" s="1">
        <v>44969</v>
      </c>
      <c r="M26" s="2" t="str">
        <f>TEXT(working_data_2[[#This Row],[Date]], "mmm-yy")</f>
        <v>Feb-23</v>
      </c>
      <c r="N26" s="4">
        <f>IFERROR(working_data_2[[#This Row],[Profit]]/working_data_2[[#This Row],[Sales Amount]], 0)</f>
        <v>9.0909090909090912E-2</v>
      </c>
    </row>
    <row r="27" spans="1:14" x14ac:dyDescent="0.3">
      <c r="A27" t="s">
        <v>179</v>
      </c>
      <c r="B27" t="s">
        <v>1935</v>
      </c>
      <c r="C27" t="s">
        <v>182</v>
      </c>
      <c r="D27" t="s">
        <v>183</v>
      </c>
      <c r="E27" t="s">
        <v>45</v>
      </c>
      <c r="F27" t="s">
        <v>25</v>
      </c>
      <c r="G27">
        <v>20</v>
      </c>
      <c r="H27">
        <v>2</v>
      </c>
      <c r="I27">
        <v>0</v>
      </c>
      <c r="J27">
        <v>5</v>
      </c>
      <c r="K27" t="s">
        <v>26</v>
      </c>
      <c r="L27" s="1">
        <v>44970</v>
      </c>
      <c r="M27" s="2" t="str">
        <f>TEXT(working_data_2[[#This Row],[Date]], "mmm-yy")</f>
        <v>Feb-23</v>
      </c>
      <c r="N27" s="4">
        <f>IFERROR(working_data_2[[#This Row],[Profit]]/working_data_2[[#This Row],[Sales Amount]], 0)</f>
        <v>0.25</v>
      </c>
    </row>
    <row r="28" spans="1:14" x14ac:dyDescent="0.3">
      <c r="A28" t="s">
        <v>187</v>
      </c>
      <c r="B28" t="s">
        <v>1936</v>
      </c>
      <c r="C28" t="s">
        <v>190</v>
      </c>
      <c r="D28" t="s">
        <v>94</v>
      </c>
      <c r="E28" t="s">
        <v>16</v>
      </c>
      <c r="F28" t="s">
        <v>39</v>
      </c>
      <c r="G28">
        <v>850</v>
      </c>
      <c r="H28">
        <v>1</v>
      </c>
      <c r="I28">
        <v>0.05</v>
      </c>
      <c r="J28">
        <v>110</v>
      </c>
      <c r="K28" t="s">
        <v>18</v>
      </c>
      <c r="L28" s="1">
        <v>44972</v>
      </c>
      <c r="M28" s="2" t="str">
        <f>TEXT(working_data_2[[#This Row],[Date]], "mmm-yy")</f>
        <v>Feb-23</v>
      </c>
      <c r="N28" s="4">
        <f>IFERROR(working_data_2[[#This Row],[Profit]]/working_data_2[[#This Row],[Sales Amount]], 0)</f>
        <v>0.12941176470588237</v>
      </c>
    </row>
    <row r="29" spans="1:14" x14ac:dyDescent="0.3">
      <c r="A29" t="s">
        <v>191</v>
      </c>
      <c r="B29" t="s">
        <v>193</v>
      </c>
      <c r="C29" t="s">
        <v>194</v>
      </c>
      <c r="D29" t="s">
        <v>94</v>
      </c>
      <c r="E29" t="s">
        <v>45</v>
      </c>
      <c r="F29" t="s">
        <v>46</v>
      </c>
      <c r="G29">
        <v>55</v>
      </c>
      <c r="H29">
        <v>3</v>
      </c>
      <c r="I29">
        <v>0</v>
      </c>
      <c r="J29">
        <v>18</v>
      </c>
      <c r="K29" t="s">
        <v>26</v>
      </c>
      <c r="L29" s="1">
        <v>44973</v>
      </c>
      <c r="M29" s="2" t="str">
        <f>TEXT(working_data_2[[#This Row],[Date]], "mmm-yy")</f>
        <v>Feb-23</v>
      </c>
      <c r="N29" s="4">
        <f>IFERROR(working_data_2[[#This Row],[Profit]]/working_data_2[[#This Row],[Sales Amount]], 0)</f>
        <v>0.32727272727272727</v>
      </c>
    </row>
    <row r="30" spans="1:14" x14ac:dyDescent="0.3">
      <c r="A30" t="s">
        <v>195</v>
      </c>
      <c r="B30" t="s">
        <v>197</v>
      </c>
      <c r="C30" t="s">
        <v>198</v>
      </c>
      <c r="D30" t="s">
        <v>94</v>
      </c>
      <c r="E30" t="s">
        <v>32</v>
      </c>
      <c r="F30" t="s">
        <v>53</v>
      </c>
      <c r="G30">
        <v>160</v>
      </c>
      <c r="H30">
        <v>4</v>
      </c>
      <c r="I30">
        <v>0.1</v>
      </c>
      <c r="J30">
        <v>22</v>
      </c>
      <c r="K30" t="s">
        <v>26</v>
      </c>
      <c r="L30" s="1">
        <v>44974</v>
      </c>
      <c r="M30" s="2" t="str">
        <f>TEXT(working_data_2[[#This Row],[Date]], "mmm-yy")</f>
        <v>Feb-23</v>
      </c>
      <c r="N30" s="4">
        <f>IFERROR(working_data_2[[#This Row],[Profit]]/working_data_2[[#This Row],[Sales Amount]], 0)</f>
        <v>0.13750000000000001</v>
      </c>
    </row>
    <row r="31" spans="1:14" x14ac:dyDescent="0.3">
      <c r="A31" t="s">
        <v>199</v>
      </c>
      <c r="B31" t="s">
        <v>201</v>
      </c>
      <c r="C31" t="s">
        <v>202</v>
      </c>
      <c r="D31" t="s">
        <v>94</v>
      </c>
      <c r="E31" t="s">
        <v>16</v>
      </c>
      <c r="F31" t="s">
        <v>59</v>
      </c>
      <c r="G31">
        <v>310</v>
      </c>
      <c r="H31">
        <v>2</v>
      </c>
      <c r="I31">
        <v>0</v>
      </c>
      <c r="J31">
        <v>45</v>
      </c>
      <c r="K31" t="s">
        <v>18</v>
      </c>
      <c r="L31" s="1">
        <v>44975</v>
      </c>
      <c r="M31" s="2" t="str">
        <f>TEXT(working_data_2[[#This Row],[Date]], "mmm-yy")</f>
        <v>Feb-23</v>
      </c>
      <c r="N31" s="4">
        <f>IFERROR(working_data_2[[#This Row],[Profit]]/working_data_2[[#This Row],[Sales Amount]], 0)</f>
        <v>0.14516129032258066</v>
      </c>
    </row>
    <row r="32" spans="1:14" x14ac:dyDescent="0.3">
      <c r="A32" t="s">
        <v>203</v>
      </c>
      <c r="B32" t="s">
        <v>205</v>
      </c>
      <c r="C32" t="s">
        <v>2004</v>
      </c>
      <c r="D32" t="s">
        <v>31</v>
      </c>
      <c r="E32" t="s">
        <v>45</v>
      </c>
      <c r="F32" t="s">
        <v>63</v>
      </c>
      <c r="G32">
        <v>80</v>
      </c>
      <c r="H32">
        <v>1</v>
      </c>
      <c r="I32">
        <v>0.2</v>
      </c>
      <c r="J32">
        <v>18</v>
      </c>
      <c r="K32" t="s">
        <v>26</v>
      </c>
      <c r="L32" s="1">
        <v>44976</v>
      </c>
      <c r="M32" s="2" t="str">
        <f>TEXT(working_data_2[[#This Row],[Date]], "mmm-yy")</f>
        <v>Feb-23</v>
      </c>
      <c r="N32" s="4">
        <f>IFERROR(working_data_2[[#This Row],[Profit]]/working_data_2[[#This Row],[Sales Amount]], 0)</f>
        <v>0.22500000000000001</v>
      </c>
    </row>
    <row r="33" spans="1:14" x14ac:dyDescent="0.3">
      <c r="A33" t="s">
        <v>206</v>
      </c>
      <c r="B33" t="s">
        <v>208</v>
      </c>
      <c r="C33" t="s">
        <v>209</v>
      </c>
      <c r="D33" t="s">
        <v>31</v>
      </c>
      <c r="E33" t="s">
        <v>32</v>
      </c>
      <c r="F33" t="s">
        <v>68</v>
      </c>
      <c r="G33">
        <v>950</v>
      </c>
      <c r="H33">
        <v>1</v>
      </c>
      <c r="I33">
        <v>0.15</v>
      </c>
      <c r="J33">
        <v>110</v>
      </c>
      <c r="K33" t="s">
        <v>18</v>
      </c>
      <c r="L33" s="1">
        <v>44977</v>
      </c>
      <c r="M33" s="2" t="str">
        <f>TEXT(working_data_2[[#This Row],[Date]], "mmm-yy")</f>
        <v>Feb-23</v>
      </c>
      <c r="N33" s="4">
        <f>IFERROR(working_data_2[[#This Row],[Profit]]/working_data_2[[#This Row],[Sales Amount]], 0)</f>
        <v>0.11578947368421053</v>
      </c>
    </row>
    <row r="34" spans="1:14" x14ac:dyDescent="0.3">
      <c r="A34" t="s">
        <v>218</v>
      </c>
      <c r="B34" t="s">
        <v>220</v>
      </c>
      <c r="C34" t="s">
        <v>221</v>
      </c>
      <c r="D34" t="s">
        <v>31</v>
      </c>
      <c r="E34" t="s">
        <v>32</v>
      </c>
      <c r="F34" t="s">
        <v>84</v>
      </c>
      <c r="G34">
        <v>360</v>
      </c>
      <c r="H34">
        <v>1</v>
      </c>
      <c r="I34">
        <v>0.1</v>
      </c>
      <c r="J34">
        <v>45</v>
      </c>
      <c r="K34" t="s">
        <v>26</v>
      </c>
      <c r="L34" s="1">
        <v>44980</v>
      </c>
      <c r="M34" s="2" t="str">
        <f>TEXT(working_data_2[[#This Row],[Date]], "mmm-yy")</f>
        <v>Feb-23</v>
      </c>
      <c r="N34" s="4">
        <f>IFERROR(working_data_2[[#This Row],[Profit]]/working_data_2[[#This Row],[Sales Amount]], 0)</f>
        <v>0.125</v>
      </c>
    </row>
    <row r="35" spans="1:14" x14ac:dyDescent="0.3">
      <c r="A35" t="s">
        <v>222</v>
      </c>
      <c r="B35" t="s">
        <v>224</v>
      </c>
      <c r="C35" t="s">
        <v>225</v>
      </c>
      <c r="D35" t="s">
        <v>31</v>
      </c>
      <c r="E35" t="s">
        <v>16</v>
      </c>
      <c r="F35" t="s">
        <v>89</v>
      </c>
      <c r="G35">
        <v>260</v>
      </c>
      <c r="H35">
        <v>2</v>
      </c>
      <c r="I35">
        <v>0.05</v>
      </c>
      <c r="J35">
        <v>35</v>
      </c>
      <c r="K35" t="s">
        <v>18</v>
      </c>
      <c r="L35" s="1">
        <v>44981</v>
      </c>
      <c r="M35" s="2" t="str">
        <f>TEXT(working_data_2[[#This Row],[Date]], "mmm-yy")</f>
        <v>Feb-23</v>
      </c>
      <c r="N35" s="4">
        <f>IFERROR(working_data_2[[#This Row],[Profit]]/working_data_2[[#This Row],[Sales Amount]], 0)</f>
        <v>0.13461538461538461</v>
      </c>
    </row>
    <row r="36" spans="1:14" x14ac:dyDescent="0.3">
      <c r="A36" t="s">
        <v>226</v>
      </c>
      <c r="B36" t="s">
        <v>228</v>
      </c>
      <c r="C36" t="s">
        <v>229</v>
      </c>
      <c r="D36" t="s">
        <v>31</v>
      </c>
      <c r="E36" t="s">
        <v>45</v>
      </c>
      <c r="F36" t="s">
        <v>95</v>
      </c>
      <c r="G36">
        <v>160</v>
      </c>
      <c r="H36">
        <v>1</v>
      </c>
      <c r="I36">
        <v>0</v>
      </c>
      <c r="J36">
        <v>30</v>
      </c>
      <c r="K36" t="s">
        <v>26</v>
      </c>
      <c r="L36" s="1">
        <v>44982</v>
      </c>
      <c r="M36" s="2" t="str">
        <f>TEXT(working_data_2[[#This Row],[Date]], "mmm-yy")</f>
        <v>Feb-23</v>
      </c>
      <c r="N36" s="4">
        <f>IFERROR(working_data_2[[#This Row],[Profit]]/working_data_2[[#This Row],[Sales Amount]], 0)</f>
        <v>0.1875</v>
      </c>
    </row>
    <row r="37" spans="1:14" x14ac:dyDescent="0.3">
      <c r="A37" t="s">
        <v>230</v>
      </c>
      <c r="B37" t="s">
        <v>232</v>
      </c>
      <c r="C37" t="s">
        <v>233</v>
      </c>
      <c r="D37" t="s">
        <v>31</v>
      </c>
      <c r="E37" t="s">
        <v>32</v>
      </c>
      <c r="F37" t="s">
        <v>100</v>
      </c>
      <c r="G37">
        <v>210</v>
      </c>
      <c r="H37">
        <v>1</v>
      </c>
      <c r="I37">
        <v>0.1</v>
      </c>
      <c r="J37">
        <v>25</v>
      </c>
      <c r="K37" t="s">
        <v>18</v>
      </c>
      <c r="L37" s="1">
        <v>44983</v>
      </c>
      <c r="M37" s="2" t="str">
        <f>TEXT(working_data_2[[#This Row],[Date]], "mmm-yy")</f>
        <v>Feb-23</v>
      </c>
      <c r="N37" s="4">
        <f>IFERROR(working_data_2[[#This Row],[Profit]]/working_data_2[[#This Row],[Sales Amount]], 0)</f>
        <v>0.11904761904761904</v>
      </c>
    </row>
    <row r="38" spans="1:14" x14ac:dyDescent="0.3">
      <c r="A38" t="s">
        <v>234</v>
      </c>
      <c r="B38" t="s">
        <v>236</v>
      </c>
      <c r="C38" t="s">
        <v>237</v>
      </c>
      <c r="D38" t="s">
        <v>31</v>
      </c>
      <c r="E38" t="s">
        <v>16</v>
      </c>
      <c r="F38" t="s">
        <v>106</v>
      </c>
      <c r="G38">
        <v>210</v>
      </c>
      <c r="H38">
        <v>1</v>
      </c>
      <c r="I38">
        <v>0</v>
      </c>
      <c r="J38">
        <v>45</v>
      </c>
      <c r="K38" t="s">
        <v>26</v>
      </c>
      <c r="L38" s="1">
        <v>44984</v>
      </c>
      <c r="M38" s="2" t="str">
        <f>TEXT(working_data_2[[#This Row],[Date]], "mmm-yy")</f>
        <v>Feb-23</v>
      </c>
      <c r="N38" s="4">
        <f>IFERROR(working_data_2[[#This Row],[Profit]]/working_data_2[[#This Row],[Sales Amount]], 0)</f>
        <v>0.21428571428571427</v>
      </c>
    </row>
    <row r="39" spans="1:14" x14ac:dyDescent="0.3">
      <c r="A39" t="s">
        <v>238</v>
      </c>
      <c r="B39" t="s">
        <v>240</v>
      </c>
      <c r="C39" t="s">
        <v>241</v>
      </c>
      <c r="D39" t="s">
        <v>31</v>
      </c>
      <c r="E39" t="s">
        <v>45</v>
      </c>
      <c r="F39" t="s">
        <v>112</v>
      </c>
      <c r="G39">
        <v>65</v>
      </c>
      <c r="H39">
        <v>2</v>
      </c>
      <c r="I39">
        <v>0.1</v>
      </c>
      <c r="J39">
        <v>12</v>
      </c>
      <c r="K39" t="s">
        <v>18</v>
      </c>
      <c r="L39" s="1">
        <v>44985</v>
      </c>
      <c r="M39" s="2" t="str">
        <f>TEXT(working_data_2[[#This Row],[Date]], "mmm-yy")</f>
        <v>Feb-23</v>
      </c>
      <c r="N39" s="4">
        <f>IFERROR(working_data_2[[#This Row],[Profit]]/working_data_2[[#This Row],[Sales Amount]], 0)</f>
        <v>0.18461538461538463</v>
      </c>
    </row>
    <row r="40" spans="1:14" x14ac:dyDescent="0.3">
      <c r="A40" t="s">
        <v>242</v>
      </c>
      <c r="B40" t="s">
        <v>244</v>
      </c>
      <c r="C40" t="s">
        <v>2004</v>
      </c>
      <c r="D40" t="s">
        <v>15</v>
      </c>
      <c r="E40" t="s">
        <v>32</v>
      </c>
      <c r="F40" t="s">
        <v>117</v>
      </c>
      <c r="G40">
        <v>1050</v>
      </c>
      <c r="H40">
        <v>1</v>
      </c>
      <c r="I40">
        <v>0.2</v>
      </c>
      <c r="J40">
        <v>160</v>
      </c>
      <c r="K40" t="s">
        <v>26</v>
      </c>
      <c r="L40" s="1">
        <v>44929</v>
      </c>
      <c r="M40" s="2" t="str">
        <f>TEXT(working_data_2[[#This Row],[Date]], "mmm-yy")</f>
        <v>Jan-23</v>
      </c>
      <c r="N40" s="4">
        <f>IFERROR(working_data_2[[#This Row],[Profit]]/working_data_2[[#This Row],[Sales Amount]], 0)</f>
        <v>0.15238095238095239</v>
      </c>
    </row>
    <row r="41" spans="1:14" x14ac:dyDescent="0.3">
      <c r="A41" t="s">
        <v>245</v>
      </c>
      <c r="B41" t="s">
        <v>247</v>
      </c>
      <c r="C41" t="s">
        <v>248</v>
      </c>
      <c r="D41" t="s">
        <v>15</v>
      </c>
      <c r="E41" t="s">
        <v>16</v>
      </c>
      <c r="F41" t="s">
        <v>123</v>
      </c>
      <c r="G41">
        <v>650</v>
      </c>
      <c r="H41">
        <v>1</v>
      </c>
      <c r="I41">
        <v>0</v>
      </c>
      <c r="J41">
        <v>90</v>
      </c>
      <c r="K41" t="s">
        <v>18</v>
      </c>
      <c r="L41" s="1">
        <v>44987</v>
      </c>
      <c r="M41" s="2" t="str">
        <f>TEXT(working_data_2[[#This Row],[Date]], "mmm-yy")</f>
        <v>Mar-23</v>
      </c>
      <c r="N41" s="4">
        <f>IFERROR(working_data_2[[#This Row],[Profit]]/working_data_2[[#This Row],[Sales Amount]], 0)</f>
        <v>0.13846153846153847</v>
      </c>
    </row>
    <row r="42" spans="1:14" x14ac:dyDescent="0.3">
      <c r="A42" t="s">
        <v>249</v>
      </c>
      <c r="B42" t="s">
        <v>251</v>
      </c>
      <c r="C42" t="s">
        <v>252</v>
      </c>
      <c r="D42" t="s">
        <v>15</v>
      </c>
      <c r="E42" t="s">
        <v>45</v>
      </c>
      <c r="F42" t="s">
        <v>129</v>
      </c>
      <c r="G42">
        <v>35</v>
      </c>
      <c r="H42">
        <v>3</v>
      </c>
      <c r="I42">
        <v>0</v>
      </c>
      <c r="J42">
        <v>8</v>
      </c>
      <c r="K42" t="s">
        <v>26</v>
      </c>
      <c r="L42" s="1">
        <v>44988</v>
      </c>
      <c r="M42" s="2" t="str">
        <f>TEXT(working_data_2[[#This Row],[Date]], "mmm-yy")</f>
        <v>Mar-23</v>
      </c>
      <c r="N42" s="4">
        <f>IFERROR(working_data_2[[#This Row],[Profit]]/working_data_2[[#This Row],[Sales Amount]], 0)</f>
        <v>0.22857142857142856</v>
      </c>
    </row>
    <row r="43" spans="1:14" x14ac:dyDescent="0.3">
      <c r="A43" t="s">
        <v>257</v>
      </c>
      <c r="B43" t="s">
        <v>259</v>
      </c>
      <c r="C43" t="s">
        <v>260</v>
      </c>
      <c r="D43" t="s">
        <v>15</v>
      </c>
      <c r="E43" t="s">
        <v>16</v>
      </c>
      <c r="F43" t="s">
        <v>141</v>
      </c>
      <c r="G43">
        <v>85</v>
      </c>
      <c r="H43">
        <v>2</v>
      </c>
      <c r="I43">
        <v>0.1</v>
      </c>
      <c r="J43">
        <v>18</v>
      </c>
      <c r="K43" t="s">
        <v>26</v>
      </c>
      <c r="L43" s="1">
        <v>44990</v>
      </c>
      <c r="M43" s="2" t="str">
        <f>TEXT(working_data_2[[#This Row],[Date]], "mmm-yy")</f>
        <v>Mar-23</v>
      </c>
      <c r="N43" s="4">
        <f>IFERROR(working_data_2[[#This Row],[Profit]]/working_data_2[[#This Row],[Sales Amount]], 0)</f>
        <v>0.21176470588235294</v>
      </c>
    </row>
    <row r="44" spans="1:14" x14ac:dyDescent="0.3">
      <c r="A44" t="s">
        <v>261</v>
      </c>
      <c r="B44" t="s">
        <v>263</v>
      </c>
      <c r="C44" t="s">
        <v>264</v>
      </c>
      <c r="D44" t="s">
        <v>15</v>
      </c>
      <c r="E44" t="s">
        <v>45</v>
      </c>
      <c r="F44" t="s">
        <v>146</v>
      </c>
      <c r="G44">
        <v>18</v>
      </c>
      <c r="H44">
        <v>5</v>
      </c>
      <c r="I44">
        <v>0</v>
      </c>
      <c r="J44">
        <v>6</v>
      </c>
      <c r="K44" t="s">
        <v>18</v>
      </c>
      <c r="L44" s="1">
        <v>45080</v>
      </c>
      <c r="M44" s="2" t="str">
        <f>TEXT(working_data_2[[#This Row],[Date]], "mmm-yy")</f>
        <v>Jun-23</v>
      </c>
      <c r="N44" s="4">
        <f>IFERROR(working_data_2[[#This Row],[Profit]]/working_data_2[[#This Row],[Sales Amount]], 0)</f>
        <v>0.33333333333333331</v>
      </c>
    </row>
    <row r="45" spans="1:14" x14ac:dyDescent="0.3">
      <c r="A45" t="s">
        <v>265</v>
      </c>
      <c r="B45" t="s">
        <v>267</v>
      </c>
      <c r="C45" t="s">
        <v>268</v>
      </c>
      <c r="D45" t="s">
        <v>15</v>
      </c>
      <c r="E45" t="s">
        <v>32</v>
      </c>
      <c r="F45" t="s">
        <v>152</v>
      </c>
      <c r="G45">
        <v>45</v>
      </c>
      <c r="H45">
        <v>4</v>
      </c>
      <c r="I45">
        <v>0</v>
      </c>
      <c r="J45">
        <v>12</v>
      </c>
      <c r="K45" t="s">
        <v>26</v>
      </c>
      <c r="L45" s="1">
        <v>44992</v>
      </c>
      <c r="M45" s="2" t="str">
        <f>TEXT(working_data_2[[#This Row],[Date]], "mmm-yy")</f>
        <v>Mar-23</v>
      </c>
      <c r="N45" s="4">
        <f>IFERROR(working_data_2[[#This Row],[Profit]]/working_data_2[[#This Row],[Sales Amount]], 0)</f>
        <v>0.26666666666666666</v>
      </c>
    </row>
    <row r="46" spans="1:14" x14ac:dyDescent="0.3">
      <c r="A46" t="s">
        <v>269</v>
      </c>
      <c r="B46" t="s">
        <v>271</v>
      </c>
      <c r="C46" t="s">
        <v>272</v>
      </c>
      <c r="D46" t="s">
        <v>15</v>
      </c>
      <c r="E46" t="s">
        <v>16</v>
      </c>
      <c r="F46" t="s">
        <v>158</v>
      </c>
      <c r="G46">
        <v>55</v>
      </c>
      <c r="H46">
        <v>2</v>
      </c>
      <c r="I46">
        <v>0</v>
      </c>
      <c r="J46">
        <v>12</v>
      </c>
      <c r="K46" t="s">
        <v>18</v>
      </c>
      <c r="L46" s="1">
        <v>44993</v>
      </c>
      <c r="M46" s="2" t="str">
        <f>TEXT(working_data_2[[#This Row],[Date]], "mmm-yy")</f>
        <v>Mar-23</v>
      </c>
      <c r="N46" s="4">
        <f>IFERROR(working_data_2[[#This Row],[Profit]]/working_data_2[[#This Row],[Sales Amount]], 0)</f>
        <v>0.21818181818181817</v>
      </c>
    </row>
    <row r="47" spans="1:14" x14ac:dyDescent="0.3">
      <c r="A47" t="s">
        <v>273</v>
      </c>
      <c r="B47" t="s">
        <v>275</v>
      </c>
      <c r="C47" t="s">
        <v>2004</v>
      </c>
      <c r="D47" t="s">
        <v>15</v>
      </c>
      <c r="E47" t="s">
        <v>45</v>
      </c>
      <c r="F47" t="s">
        <v>163</v>
      </c>
      <c r="G47">
        <v>22</v>
      </c>
      <c r="H47">
        <v>1</v>
      </c>
      <c r="I47">
        <v>0</v>
      </c>
      <c r="J47">
        <v>6</v>
      </c>
      <c r="K47" t="s">
        <v>26</v>
      </c>
      <c r="L47" s="1">
        <v>45172</v>
      </c>
      <c r="M47" s="2" t="str">
        <f>TEXT(working_data_2[[#This Row],[Date]], "mmm-yy")</f>
        <v>Sep-23</v>
      </c>
      <c r="N47" s="4">
        <f>IFERROR(working_data_2[[#This Row],[Profit]]/working_data_2[[#This Row],[Sales Amount]], 0)</f>
        <v>0.27272727272727271</v>
      </c>
    </row>
    <row r="48" spans="1:14" x14ac:dyDescent="0.3">
      <c r="A48" t="s">
        <v>276</v>
      </c>
      <c r="B48" t="s">
        <v>278</v>
      </c>
      <c r="C48" t="s">
        <v>279</v>
      </c>
      <c r="D48" t="s">
        <v>15</v>
      </c>
      <c r="E48" t="s">
        <v>32</v>
      </c>
      <c r="F48" t="s">
        <v>168</v>
      </c>
      <c r="G48">
        <v>65</v>
      </c>
      <c r="H48">
        <v>2</v>
      </c>
      <c r="I48">
        <v>0.1</v>
      </c>
      <c r="J48">
        <v>12</v>
      </c>
      <c r="K48" t="s">
        <v>18</v>
      </c>
      <c r="L48" s="1">
        <v>44995</v>
      </c>
      <c r="M48" s="2" t="str">
        <f>TEXT(working_data_2[[#This Row],[Date]], "mmm-yy")</f>
        <v>Mar-23</v>
      </c>
      <c r="N48" s="4">
        <f>IFERROR(working_data_2[[#This Row],[Profit]]/working_data_2[[#This Row],[Sales Amount]], 0)</f>
        <v>0.18461538461538463</v>
      </c>
    </row>
    <row r="49" spans="1:14" x14ac:dyDescent="0.3">
      <c r="A49" t="s">
        <v>280</v>
      </c>
      <c r="B49" t="s">
        <v>282</v>
      </c>
      <c r="C49" t="s">
        <v>283</v>
      </c>
      <c r="D49" t="s">
        <v>15</v>
      </c>
      <c r="E49" t="s">
        <v>16</v>
      </c>
      <c r="F49" t="s">
        <v>174</v>
      </c>
      <c r="G49">
        <v>28</v>
      </c>
      <c r="H49">
        <v>3</v>
      </c>
      <c r="I49">
        <v>0</v>
      </c>
      <c r="J49">
        <v>6</v>
      </c>
      <c r="K49" t="s">
        <v>26</v>
      </c>
      <c r="L49" s="1">
        <v>45233</v>
      </c>
      <c r="M49" s="2" t="str">
        <f>TEXT(working_data_2[[#This Row],[Date]], "mmm-yy")</f>
        <v>Nov-23</v>
      </c>
      <c r="N49" s="4">
        <f>IFERROR(working_data_2[[#This Row],[Profit]]/working_data_2[[#This Row],[Sales Amount]], 0)</f>
        <v>0.21428571428571427</v>
      </c>
    </row>
    <row r="50" spans="1:14" x14ac:dyDescent="0.3">
      <c r="A50" t="s">
        <v>284</v>
      </c>
      <c r="B50" t="s">
        <v>1937</v>
      </c>
      <c r="C50" t="s">
        <v>287</v>
      </c>
      <c r="D50" t="s">
        <v>23</v>
      </c>
      <c r="E50" t="s">
        <v>16</v>
      </c>
      <c r="F50" t="s">
        <v>17</v>
      </c>
      <c r="G50">
        <v>1150</v>
      </c>
      <c r="H50">
        <v>1</v>
      </c>
      <c r="I50">
        <v>0.1</v>
      </c>
      <c r="J50">
        <v>140</v>
      </c>
      <c r="K50" t="s">
        <v>18</v>
      </c>
      <c r="L50" s="1">
        <v>45263</v>
      </c>
      <c r="M50" s="2" t="str">
        <f>TEXT(working_data_2[[#This Row],[Date]], "mmm-yy")</f>
        <v>Dec-23</v>
      </c>
      <c r="N50" s="4">
        <f>IFERROR(working_data_2[[#This Row],[Profit]]/working_data_2[[#This Row],[Sales Amount]], 0)</f>
        <v>0.12173913043478261</v>
      </c>
    </row>
    <row r="51" spans="1:14" x14ac:dyDescent="0.3">
      <c r="A51" t="s">
        <v>288</v>
      </c>
      <c r="B51" t="s">
        <v>1938</v>
      </c>
      <c r="C51" t="s">
        <v>291</v>
      </c>
      <c r="D51" t="s">
        <v>23</v>
      </c>
      <c r="E51" t="s">
        <v>45</v>
      </c>
      <c r="F51" t="s">
        <v>25</v>
      </c>
      <c r="G51">
        <v>22</v>
      </c>
      <c r="H51">
        <v>2</v>
      </c>
      <c r="I51">
        <v>0</v>
      </c>
      <c r="J51">
        <v>8</v>
      </c>
      <c r="K51" t="s">
        <v>26</v>
      </c>
      <c r="L51" s="1">
        <v>44998</v>
      </c>
      <c r="M51" s="2" t="str">
        <f>TEXT(working_data_2[[#This Row],[Date]], "mmm-yy")</f>
        <v>Mar-23</v>
      </c>
      <c r="N51" s="4">
        <f>IFERROR(working_data_2[[#This Row],[Profit]]/working_data_2[[#This Row],[Sales Amount]], 0)</f>
        <v>0.36363636363636365</v>
      </c>
    </row>
    <row r="52" spans="1:14" x14ac:dyDescent="0.3">
      <c r="A52" t="s">
        <v>295</v>
      </c>
      <c r="B52" t="s">
        <v>1939</v>
      </c>
      <c r="C52" t="s">
        <v>83</v>
      </c>
      <c r="D52" t="s">
        <v>23</v>
      </c>
      <c r="E52" t="s">
        <v>16</v>
      </c>
      <c r="F52" t="s">
        <v>39</v>
      </c>
      <c r="G52">
        <v>820</v>
      </c>
      <c r="H52">
        <v>1</v>
      </c>
      <c r="I52">
        <v>0.05</v>
      </c>
      <c r="J52">
        <v>105</v>
      </c>
      <c r="K52" t="s">
        <v>18</v>
      </c>
      <c r="L52" s="1">
        <v>45000</v>
      </c>
      <c r="M52" s="2" t="str">
        <f>TEXT(working_data_2[[#This Row],[Date]], "mmm-yy")</f>
        <v>Mar-23</v>
      </c>
      <c r="N52" s="4">
        <f>IFERROR(working_data_2[[#This Row],[Profit]]/working_data_2[[#This Row],[Sales Amount]], 0)</f>
        <v>0.12804878048780488</v>
      </c>
    </row>
    <row r="53" spans="1:14" x14ac:dyDescent="0.3">
      <c r="A53" t="s">
        <v>298</v>
      </c>
      <c r="B53" t="s">
        <v>300</v>
      </c>
      <c r="C53" t="s">
        <v>301</v>
      </c>
      <c r="D53" t="s">
        <v>23</v>
      </c>
      <c r="E53" t="s">
        <v>45</v>
      </c>
      <c r="F53" t="s">
        <v>46</v>
      </c>
      <c r="G53">
        <v>52</v>
      </c>
      <c r="H53">
        <v>3</v>
      </c>
      <c r="I53">
        <v>0</v>
      </c>
      <c r="J53">
        <v>16</v>
      </c>
      <c r="K53" t="s">
        <v>26</v>
      </c>
      <c r="L53" s="1">
        <v>45001</v>
      </c>
      <c r="M53" s="2" t="str">
        <f>TEXT(working_data_2[[#This Row],[Date]], "mmm-yy")</f>
        <v>Mar-23</v>
      </c>
      <c r="N53" s="4">
        <f>IFERROR(working_data_2[[#This Row],[Profit]]/working_data_2[[#This Row],[Sales Amount]], 0)</f>
        <v>0.30769230769230771</v>
      </c>
    </row>
    <row r="54" spans="1:14" x14ac:dyDescent="0.3">
      <c r="A54" t="s">
        <v>302</v>
      </c>
      <c r="B54" t="s">
        <v>304</v>
      </c>
      <c r="C54" t="s">
        <v>305</v>
      </c>
      <c r="D54" t="s">
        <v>23</v>
      </c>
      <c r="E54" t="s">
        <v>32</v>
      </c>
      <c r="F54" t="s">
        <v>53</v>
      </c>
      <c r="G54">
        <v>155</v>
      </c>
      <c r="H54">
        <v>4</v>
      </c>
      <c r="I54">
        <v>0.1</v>
      </c>
      <c r="J54">
        <v>21</v>
      </c>
      <c r="K54" t="s">
        <v>26</v>
      </c>
      <c r="L54" s="1">
        <v>45002</v>
      </c>
      <c r="M54" s="2" t="str">
        <f>TEXT(working_data_2[[#This Row],[Date]], "mmm-yy")</f>
        <v>Mar-23</v>
      </c>
      <c r="N54" s="4">
        <f>IFERROR(working_data_2[[#This Row],[Profit]]/working_data_2[[#This Row],[Sales Amount]], 0)</f>
        <v>0.13548387096774195</v>
      </c>
    </row>
    <row r="55" spans="1:14" x14ac:dyDescent="0.3">
      <c r="A55" t="s">
        <v>306</v>
      </c>
      <c r="B55" t="s">
        <v>308</v>
      </c>
      <c r="C55" t="s">
        <v>309</v>
      </c>
      <c r="D55" t="s">
        <v>23</v>
      </c>
      <c r="E55" t="s">
        <v>16</v>
      </c>
      <c r="F55" t="s">
        <v>59</v>
      </c>
      <c r="G55">
        <v>305</v>
      </c>
      <c r="H55">
        <v>2</v>
      </c>
      <c r="I55">
        <v>0</v>
      </c>
      <c r="J55">
        <v>42</v>
      </c>
      <c r="K55" t="s">
        <v>18</v>
      </c>
      <c r="L55" s="1">
        <v>45003</v>
      </c>
      <c r="M55" s="2" t="str">
        <f>TEXT(working_data_2[[#This Row],[Date]], "mmm-yy")</f>
        <v>Mar-23</v>
      </c>
      <c r="N55" s="4">
        <f>IFERROR(working_data_2[[#This Row],[Profit]]/working_data_2[[#This Row],[Sales Amount]], 0)</f>
        <v>0.13770491803278689</v>
      </c>
    </row>
    <row r="56" spans="1:14" x14ac:dyDescent="0.3">
      <c r="A56" t="s">
        <v>310</v>
      </c>
      <c r="B56" t="s">
        <v>312</v>
      </c>
      <c r="C56" t="s">
        <v>2004</v>
      </c>
      <c r="D56" t="s">
        <v>23</v>
      </c>
      <c r="E56" t="s">
        <v>45</v>
      </c>
      <c r="F56" t="s">
        <v>63</v>
      </c>
      <c r="G56">
        <v>78</v>
      </c>
      <c r="H56">
        <v>1</v>
      </c>
      <c r="I56">
        <v>0.2</v>
      </c>
      <c r="J56">
        <v>16</v>
      </c>
      <c r="K56" t="s">
        <v>26</v>
      </c>
      <c r="L56" s="1">
        <v>45004</v>
      </c>
      <c r="M56" s="2" t="str">
        <f>TEXT(working_data_2[[#This Row],[Date]], "mmm-yy")</f>
        <v>Mar-23</v>
      </c>
      <c r="N56" s="4">
        <f>IFERROR(working_data_2[[#This Row],[Profit]]/working_data_2[[#This Row],[Sales Amount]], 0)</f>
        <v>0.20512820512820512</v>
      </c>
    </row>
    <row r="57" spans="1:14" x14ac:dyDescent="0.3">
      <c r="A57" t="s">
        <v>313</v>
      </c>
      <c r="B57" t="s">
        <v>315</v>
      </c>
      <c r="C57" t="s">
        <v>316</v>
      </c>
      <c r="D57" t="s">
        <v>23</v>
      </c>
      <c r="E57" t="s">
        <v>32</v>
      </c>
      <c r="F57" t="s">
        <v>68</v>
      </c>
      <c r="G57">
        <v>920</v>
      </c>
      <c r="H57">
        <v>1</v>
      </c>
      <c r="I57">
        <v>0.15</v>
      </c>
      <c r="J57">
        <v>105</v>
      </c>
      <c r="K57" t="s">
        <v>18</v>
      </c>
      <c r="L57" s="1">
        <v>45005</v>
      </c>
      <c r="M57" s="2" t="str">
        <f>TEXT(working_data_2[[#This Row],[Date]], "mmm-yy")</f>
        <v>Mar-23</v>
      </c>
      <c r="N57" s="4">
        <f>IFERROR(working_data_2[[#This Row],[Profit]]/working_data_2[[#This Row],[Sales Amount]], 0)</f>
        <v>0.11413043478260869</v>
      </c>
    </row>
    <row r="58" spans="1:14" x14ac:dyDescent="0.3">
      <c r="A58" t="s">
        <v>325</v>
      </c>
      <c r="B58" t="s">
        <v>327</v>
      </c>
      <c r="C58" t="s">
        <v>328</v>
      </c>
      <c r="D58" t="s">
        <v>23</v>
      </c>
      <c r="E58" t="s">
        <v>32</v>
      </c>
      <c r="F58" t="s">
        <v>84</v>
      </c>
      <c r="G58">
        <v>355</v>
      </c>
      <c r="H58">
        <v>1</v>
      </c>
      <c r="I58">
        <v>0.1</v>
      </c>
      <c r="J58">
        <v>42</v>
      </c>
      <c r="K58" t="s">
        <v>26</v>
      </c>
      <c r="L58" s="1">
        <v>45008</v>
      </c>
      <c r="M58" s="2" t="str">
        <f>TEXT(working_data_2[[#This Row],[Date]], "mmm-yy")</f>
        <v>Mar-23</v>
      </c>
      <c r="N58" s="4">
        <f>IFERROR(working_data_2[[#This Row],[Profit]]/working_data_2[[#This Row],[Sales Amount]], 0)</f>
        <v>0.11830985915492957</v>
      </c>
    </row>
    <row r="59" spans="1:14" x14ac:dyDescent="0.3">
      <c r="A59" t="s">
        <v>329</v>
      </c>
      <c r="B59" t="s">
        <v>1940</v>
      </c>
      <c r="C59" t="s">
        <v>332</v>
      </c>
      <c r="D59" t="s">
        <v>23</v>
      </c>
      <c r="E59" t="s">
        <v>16</v>
      </c>
      <c r="F59" t="s">
        <v>89</v>
      </c>
      <c r="G59">
        <v>255</v>
      </c>
      <c r="H59">
        <v>2</v>
      </c>
      <c r="I59">
        <v>0.05</v>
      </c>
      <c r="J59">
        <v>32</v>
      </c>
      <c r="K59" t="s">
        <v>18</v>
      </c>
      <c r="L59" s="1">
        <v>45009</v>
      </c>
      <c r="M59" s="2" t="str">
        <f>TEXT(working_data_2[[#This Row],[Date]], "mmm-yy")</f>
        <v>Mar-23</v>
      </c>
      <c r="N59" s="4">
        <f>IFERROR(working_data_2[[#This Row],[Profit]]/working_data_2[[#This Row],[Sales Amount]], 0)</f>
        <v>0.12549019607843137</v>
      </c>
    </row>
    <row r="60" spans="1:14" x14ac:dyDescent="0.3">
      <c r="A60" t="s">
        <v>333</v>
      </c>
      <c r="B60" t="s">
        <v>335</v>
      </c>
      <c r="C60" t="s">
        <v>336</v>
      </c>
      <c r="D60" t="s">
        <v>23</v>
      </c>
      <c r="E60" t="s">
        <v>45</v>
      </c>
      <c r="F60" t="s">
        <v>95</v>
      </c>
      <c r="G60">
        <v>155</v>
      </c>
      <c r="H60">
        <v>1</v>
      </c>
      <c r="I60">
        <v>0</v>
      </c>
      <c r="J60">
        <v>28</v>
      </c>
      <c r="K60" t="s">
        <v>26</v>
      </c>
      <c r="L60" s="1">
        <v>45010</v>
      </c>
      <c r="M60" s="2" t="str">
        <f>TEXT(working_data_2[[#This Row],[Date]], "mmm-yy")</f>
        <v>Mar-23</v>
      </c>
      <c r="N60" s="4">
        <f>IFERROR(working_data_2[[#This Row],[Profit]]/working_data_2[[#This Row],[Sales Amount]], 0)</f>
        <v>0.18064516129032257</v>
      </c>
    </row>
    <row r="61" spans="1:14" x14ac:dyDescent="0.3">
      <c r="A61" t="s">
        <v>337</v>
      </c>
      <c r="B61" t="s">
        <v>138</v>
      </c>
      <c r="C61" t="s">
        <v>339</v>
      </c>
      <c r="D61" t="s">
        <v>23</v>
      </c>
      <c r="E61" t="s">
        <v>32</v>
      </c>
      <c r="F61" t="s">
        <v>100</v>
      </c>
      <c r="G61">
        <v>205</v>
      </c>
      <c r="H61">
        <v>1</v>
      </c>
      <c r="I61">
        <v>0.1</v>
      </c>
      <c r="J61">
        <v>22</v>
      </c>
      <c r="K61" t="s">
        <v>18</v>
      </c>
      <c r="L61" s="1">
        <v>45011</v>
      </c>
      <c r="M61" s="2" t="str">
        <f>TEXT(working_data_2[[#This Row],[Date]], "mmm-yy")</f>
        <v>Mar-23</v>
      </c>
      <c r="N61" s="4">
        <f>IFERROR(working_data_2[[#This Row],[Profit]]/working_data_2[[#This Row],[Sales Amount]], 0)</f>
        <v>0.10731707317073171</v>
      </c>
    </row>
    <row r="62" spans="1:14" x14ac:dyDescent="0.3">
      <c r="A62" t="s">
        <v>340</v>
      </c>
      <c r="B62" t="s">
        <v>342</v>
      </c>
      <c r="C62" t="s">
        <v>343</v>
      </c>
      <c r="D62" t="s">
        <v>23</v>
      </c>
      <c r="E62" t="s">
        <v>16</v>
      </c>
      <c r="F62" t="s">
        <v>106</v>
      </c>
      <c r="G62">
        <v>205</v>
      </c>
      <c r="H62">
        <v>1</v>
      </c>
      <c r="I62">
        <v>0</v>
      </c>
      <c r="J62">
        <v>42</v>
      </c>
      <c r="K62" t="s">
        <v>26</v>
      </c>
      <c r="L62" s="1">
        <v>45012</v>
      </c>
      <c r="M62" s="2" t="str">
        <f>TEXT(working_data_2[[#This Row],[Date]], "mmm-yy")</f>
        <v>Mar-23</v>
      </c>
      <c r="N62" s="4">
        <f>IFERROR(working_data_2[[#This Row],[Profit]]/working_data_2[[#This Row],[Sales Amount]], 0)</f>
        <v>0.20487804878048779</v>
      </c>
    </row>
    <row r="63" spans="1:14" x14ac:dyDescent="0.3">
      <c r="A63" t="s">
        <v>344</v>
      </c>
      <c r="B63" t="s">
        <v>346</v>
      </c>
      <c r="C63" t="s">
        <v>347</v>
      </c>
      <c r="D63" t="s">
        <v>23</v>
      </c>
      <c r="E63" t="s">
        <v>45</v>
      </c>
      <c r="F63" t="s">
        <v>112</v>
      </c>
      <c r="G63">
        <v>62</v>
      </c>
      <c r="H63">
        <v>2</v>
      </c>
      <c r="I63">
        <v>0.1</v>
      </c>
      <c r="J63">
        <v>11</v>
      </c>
      <c r="K63" t="s">
        <v>18</v>
      </c>
      <c r="L63" s="1">
        <v>45013</v>
      </c>
      <c r="M63" s="2" t="str">
        <f>TEXT(working_data_2[[#This Row],[Date]], "mmm-yy")</f>
        <v>Mar-23</v>
      </c>
      <c r="N63" s="4">
        <f>IFERROR(working_data_2[[#This Row],[Profit]]/working_data_2[[#This Row],[Sales Amount]], 0)</f>
        <v>0.17741935483870969</v>
      </c>
    </row>
    <row r="64" spans="1:14" x14ac:dyDescent="0.3">
      <c r="A64" t="s">
        <v>348</v>
      </c>
      <c r="B64" t="s">
        <v>350</v>
      </c>
      <c r="C64" t="s">
        <v>2004</v>
      </c>
      <c r="D64" t="s">
        <v>23</v>
      </c>
      <c r="E64" t="s">
        <v>32</v>
      </c>
      <c r="F64" t="s">
        <v>117</v>
      </c>
      <c r="G64">
        <v>1020</v>
      </c>
      <c r="H64">
        <v>1</v>
      </c>
      <c r="I64">
        <v>0.2</v>
      </c>
      <c r="J64">
        <v>155</v>
      </c>
      <c r="K64" t="s">
        <v>26</v>
      </c>
      <c r="L64" s="1">
        <v>45014</v>
      </c>
      <c r="M64" s="2" t="str">
        <f>TEXT(working_data_2[[#This Row],[Date]], "mmm-yy")</f>
        <v>Mar-23</v>
      </c>
      <c r="N64" s="4">
        <f>IFERROR(working_data_2[[#This Row],[Profit]]/working_data_2[[#This Row],[Sales Amount]], 0)</f>
        <v>0.15196078431372548</v>
      </c>
    </row>
    <row r="65" spans="1:14" x14ac:dyDescent="0.3">
      <c r="A65" t="s">
        <v>351</v>
      </c>
      <c r="B65" t="s">
        <v>353</v>
      </c>
      <c r="C65" t="s">
        <v>354</v>
      </c>
      <c r="D65" t="s">
        <v>23</v>
      </c>
      <c r="E65" t="s">
        <v>16</v>
      </c>
      <c r="F65" t="s">
        <v>123</v>
      </c>
      <c r="G65">
        <v>620</v>
      </c>
      <c r="H65">
        <v>1</v>
      </c>
      <c r="I65">
        <v>0</v>
      </c>
      <c r="J65">
        <v>85</v>
      </c>
      <c r="K65" t="s">
        <v>18</v>
      </c>
      <c r="L65" s="1">
        <v>45015</v>
      </c>
      <c r="M65" s="2" t="str">
        <f>TEXT(working_data_2[[#This Row],[Date]], "mmm-yy")</f>
        <v>Mar-23</v>
      </c>
      <c r="N65" s="4">
        <f>IFERROR(working_data_2[[#This Row],[Profit]]/working_data_2[[#This Row],[Sales Amount]], 0)</f>
        <v>0.13709677419354838</v>
      </c>
    </row>
    <row r="66" spans="1:14" x14ac:dyDescent="0.3">
      <c r="A66" t="s">
        <v>355</v>
      </c>
      <c r="B66" t="s">
        <v>357</v>
      </c>
      <c r="C66" t="s">
        <v>358</v>
      </c>
      <c r="D66" t="s">
        <v>23</v>
      </c>
      <c r="E66" t="s">
        <v>45</v>
      </c>
      <c r="F66" t="s">
        <v>129</v>
      </c>
      <c r="G66">
        <v>32</v>
      </c>
      <c r="H66">
        <v>3</v>
      </c>
      <c r="I66">
        <v>0</v>
      </c>
      <c r="J66">
        <v>6</v>
      </c>
      <c r="K66" t="s">
        <v>26</v>
      </c>
      <c r="L66" s="1">
        <v>45016</v>
      </c>
      <c r="M66" s="2" t="str">
        <f>TEXT(working_data_2[[#This Row],[Date]], "mmm-yy")</f>
        <v>Mar-23</v>
      </c>
      <c r="N66" s="4">
        <f>IFERROR(working_data_2[[#This Row],[Profit]]/working_data_2[[#This Row],[Sales Amount]], 0)</f>
        <v>0.1875</v>
      </c>
    </row>
    <row r="67" spans="1:14" x14ac:dyDescent="0.3">
      <c r="A67" t="s">
        <v>363</v>
      </c>
      <c r="B67" t="s">
        <v>365</v>
      </c>
      <c r="C67" t="s">
        <v>366</v>
      </c>
      <c r="D67" t="s">
        <v>23</v>
      </c>
      <c r="E67" t="s">
        <v>16</v>
      </c>
      <c r="F67" t="s">
        <v>141</v>
      </c>
      <c r="G67">
        <v>82</v>
      </c>
      <c r="H67">
        <v>2</v>
      </c>
      <c r="I67">
        <v>0.1</v>
      </c>
      <c r="J67">
        <v>16</v>
      </c>
      <c r="K67" t="s">
        <v>26</v>
      </c>
      <c r="L67" s="1">
        <v>45018</v>
      </c>
      <c r="M67" s="2" t="str">
        <f>TEXT(working_data_2[[#This Row],[Date]], "mmm-yy")</f>
        <v>Apr-23</v>
      </c>
      <c r="N67" s="4">
        <f>IFERROR(working_data_2[[#This Row],[Profit]]/working_data_2[[#This Row],[Sales Amount]], 0)</f>
        <v>0.1951219512195122</v>
      </c>
    </row>
    <row r="68" spans="1:14" x14ac:dyDescent="0.3">
      <c r="A68" t="s">
        <v>367</v>
      </c>
      <c r="B68" t="s">
        <v>369</v>
      </c>
      <c r="C68" t="s">
        <v>370</v>
      </c>
      <c r="D68" t="s">
        <v>23</v>
      </c>
      <c r="E68" t="s">
        <v>45</v>
      </c>
      <c r="F68" t="s">
        <v>146</v>
      </c>
      <c r="G68">
        <v>16</v>
      </c>
      <c r="H68">
        <v>5</v>
      </c>
      <c r="I68">
        <v>0</v>
      </c>
      <c r="J68">
        <v>5</v>
      </c>
      <c r="K68" t="s">
        <v>18</v>
      </c>
      <c r="L68" s="1">
        <v>44989</v>
      </c>
      <c r="M68" s="2" t="str">
        <f>TEXT(working_data_2[[#This Row],[Date]], "mmm-yy")</f>
        <v>Mar-23</v>
      </c>
      <c r="N68" s="4">
        <f>IFERROR(working_data_2[[#This Row],[Profit]]/working_data_2[[#This Row],[Sales Amount]], 0)</f>
        <v>0.3125</v>
      </c>
    </row>
    <row r="69" spans="1:14" x14ac:dyDescent="0.3">
      <c r="A69" t="s">
        <v>371</v>
      </c>
      <c r="B69" t="s">
        <v>373</v>
      </c>
      <c r="C69" t="s">
        <v>374</v>
      </c>
      <c r="D69" t="s">
        <v>23</v>
      </c>
      <c r="E69" t="s">
        <v>32</v>
      </c>
      <c r="F69" t="s">
        <v>152</v>
      </c>
      <c r="G69">
        <v>42</v>
      </c>
      <c r="H69">
        <v>4</v>
      </c>
      <c r="I69">
        <v>0</v>
      </c>
      <c r="J69">
        <v>11</v>
      </c>
      <c r="K69" t="s">
        <v>26</v>
      </c>
      <c r="L69" s="1">
        <v>45020</v>
      </c>
      <c r="M69" s="2" t="str">
        <f>TEXT(working_data_2[[#This Row],[Date]], "mmm-yy")</f>
        <v>Apr-23</v>
      </c>
      <c r="N69" s="4">
        <f>IFERROR(working_data_2[[#This Row],[Profit]]/working_data_2[[#This Row],[Sales Amount]], 0)</f>
        <v>0.26190476190476192</v>
      </c>
    </row>
    <row r="70" spans="1:14" x14ac:dyDescent="0.3">
      <c r="A70" t="s">
        <v>375</v>
      </c>
      <c r="B70" t="s">
        <v>377</v>
      </c>
      <c r="C70" t="s">
        <v>378</v>
      </c>
      <c r="D70" t="s">
        <v>23</v>
      </c>
      <c r="E70" t="s">
        <v>16</v>
      </c>
      <c r="F70" t="s">
        <v>158</v>
      </c>
      <c r="G70">
        <v>52</v>
      </c>
      <c r="H70">
        <v>2</v>
      </c>
      <c r="I70">
        <v>0</v>
      </c>
      <c r="J70">
        <v>11</v>
      </c>
      <c r="K70" t="s">
        <v>18</v>
      </c>
      <c r="L70" s="1">
        <v>45021</v>
      </c>
      <c r="M70" s="2" t="str">
        <f>TEXT(working_data_2[[#This Row],[Date]], "mmm-yy")</f>
        <v>Apr-23</v>
      </c>
      <c r="N70" s="4">
        <f>IFERROR(working_data_2[[#This Row],[Profit]]/working_data_2[[#This Row],[Sales Amount]], 0)</f>
        <v>0.21153846153846154</v>
      </c>
    </row>
    <row r="71" spans="1:14" x14ac:dyDescent="0.3">
      <c r="A71" t="s">
        <v>379</v>
      </c>
      <c r="B71" t="s">
        <v>381</v>
      </c>
      <c r="C71" t="s">
        <v>2004</v>
      </c>
      <c r="D71" t="s">
        <v>23</v>
      </c>
      <c r="E71" t="s">
        <v>45</v>
      </c>
      <c r="F71" t="s">
        <v>163</v>
      </c>
      <c r="G71">
        <v>21</v>
      </c>
      <c r="H71">
        <v>1</v>
      </c>
      <c r="I71">
        <v>0</v>
      </c>
      <c r="J71">
        <v>5</v>
      </c>
      <c r="K71" t="s">
        <v>26</v>
      </c>
      <c r="L71" s="1">
        <v>45081</v>
      </c>
      <c r="M71" s="2" t="str">
        <f>TEXT(working_data_2[[#This Row],[Date]], "mmm-yy")</f>
        <v>Jun-23</v>
      </c>
      <c r="N71" s="4">
        <f>IFERROR(working_data_2[[#This Row],[Profit]]/working_data_2[[#This Row],[Sales Amount]], 0)</f>
        <v>0.23809523809523808</v>
      </c>
    </row>
    <row r="72" spans="1:14" x14ac:dyDescent="0.3">
      <c r="A72" t="s">
        <v>382</v>
      </c>
      <c r="B72" t="s">
        <v>384</v>
      </c>
      <c r="C72" t="s">
        <v>385</v>
      </c>
      <c r="D72" t="s">
        <v>23</v>
      </c>
      <c r="E72" t="s">
        <v>32</v>
      </c>
      <c r="F72" t="s">
        <v>168</v>
      </c>
      <c r="G72">
        <v>62</v>
      </c>
      <c r="H72">
        <v>2</v>
      </c>
      <c r="I72">
        <v>0.1</v>
      </c>
      <c r="J72">
        <v>11</v>
      </c>
      <c r="K72" t="s">
        <v>18</v>
      </c>
      <c r="L72" s="1">
        <v>45023</v>
      </c>
      <c r="M72" s="2" t="str">
        <f>TEXT(working_data_2[[#This Row],[Date]], "mmm-yy")</f>
        <v>Apr-23</v>
      </c>
      <c r="N72" s="4">
        <f>IFERROR(working_data_2[[#This Row],[Profit]]/working_data_2[[#This Row],[Sales Amount]], 0)</f>
        <v>0.17741935483870969</v>
      </c>
    </row>
    <row r="73" spans="1:14" x14ac:dyDescent="0.3">
      <c r="A73" t="s">
        <v>386</v>
      </c>
      <c r="B73" t="s">
        <v>388</v>
      </c>
      <c r="C73" t="s">
        <v>389</v>
      </c>
      <c r="D73" t="s">
        <v>23</v>
      </c>
      <c r="E73" t="s">
        <v>16</v>
      </c>
      <c r="F73" t="s">
        <v>174</v>
      </c>
      <c r="G73">
        <v>26</v>
      </c>
      <c r="H73">
        <v>3</v>
      </c>
      <c r="I73">
        <v>0</v>
      </c>
      <c r="J73">
        <v>5</v>
      </c>
      <c r="K73" t="s">
        <v>26</v>
      </c>
      <c r="L73" s="1">
        <v>45142</v>
      </c>
      <c r="M73" s="2" t="str">
        <f>TEXT(working_data_2[[#This Row],[Date]], "mmm-yy")</f>
        <v>Aug-23</v>
      </c>
      <c r="N73" s="4">
        <f>IFERROR(working_data_2[[#This Row],[Profit]]/working_data_2[[#This Row],[Sales Amount]], 0)</f>
        <v>0.19230769230769232</v>
      </c>
    </row>
    <row r="74" spans="1:14" x14ac:dyDescent="0.3">
      <c r="A74" t="s">
        <v>390</v>
      </c>
      <c r="B74" t="s">
        <v>1941</v>
      </c>
      <c r="C74" t="s">
        <v>37</v>
      </c>
      <c r="D74" t="s">
        <v>38</v>
      </c>
      <c r="E74" t="s">
        <v>16</v>
      </c>
      <c r="F74" t="s">
        <v>17</v>
      </c>
      <c r="G74">
        <v>1180</v>
      </c>
      <c r="H74">
        <v>1</v>
      </c>
      <c r="I74">
        <v>0.1</v>
      </c>
      <c r="J74">
        <v>145</v>
      </c>
      <c r="K74" t="s">
        <v>18</v>
      </c>
      <c r="L74" s="1">
        <v>45173</v>
      </c>
      <c r="M74" s="2" t="str">
        <f>TEXT(working_data_2[[#This Row],[Date]], "mmm-yy")</f>
        <v>Sep-23</v>
      </c>
      <c r="N74" s="4">
        <f>IFERROR(working_data_2[[#This Row],[Profit]]/working_data_2[[#This Row],[Sales Amount]], 0)</f>
        <v>0.1228813559322034</v>
      </c>
    </row>
    <row r="75" spans="1:14" x14ac:dyDescent="0.3">
      <c r="A75" t="s">
        <v>393</v>
      </c>
      <c r="B75" t="s">
        <v>1942</v>
      </c>
      <c r="C75" t="s">
        <v>396</v>
      </c>
      <c r="D75" t="s">
        <v>38</v>
      </c>
      <c r="E75" t="s">
        <v>45</v>
      </c>
      <c r="F75" t="s">
        <v>25</v>
      </c>
      <c r="G75">
        <v>24</v>
      </c>
      <c r="H75">
        <v>2</v>
      </c>
      <c r="I75">
        <v>0</v>
      </c>
      <c r="J75">
        <v>9</v>
      </c>
      <c r="K75" t="s">
        <v>26</v>
      </c>
      <c r="L75" s="1">
        <v>45026</v>
      </c>
      <c r="M75" s="2" t="str">
        <f>TEXT(working_data_2[[#This Row],[Date]], "mmm-yy")</f>
        <v>Apr-23</v>
      </c>
      <c r="N75" s="4">
        <f>IFERROR(working_data_2[[#This Row],[Profit]]/working_data_2[[#This Row],[Sales Amount]], 0)</f>
        <v>0.375</v>
      </c>
    </row>
    <row r="76" spans="1:14" x14ac:dyDescent="0.3">
      <c r="A76" t="s">
        <v>400</v>
      </c>
      <c r="B76" t="s">
        <v>1943</v>
      </c>
      <c r="C76" t="s">
        <v>403</v>
      </c>
      <c r="D76" t="s">
        <v>38</v>
      </c>
      <c r="E76" t="s">
        <v>16</v>
      </c>
      <c r="F76" t="s">
        <v>39</v>
      </c>
      <c r="G76">
        <v>810</v>
      </c>
      <c r="H76">
        <v>1</v>
      </c>
      <c r="I76">
        <v>0.05</v>
      </c>
      <c r="J76">
        <v>102</v>
      </c>
      <c r="K76" t="s">
        <v>18</v>
      </c>
      <c r="L76" s="1">
        <v>45264</v>
      </c>
      <c r="M76" s="2" t="str">
        <f>TEXT(working_data_2[[#This Row],[Date]], "mmm-yy")</f>
        <v>Dec-23</v>
      </c>
      <c r="N76" s="4">
        <f>IFERROR(working_data_2[[#This Row],[Profit]]/working_data_2[[#This Row],[Sales Amount]], 0)</f>
        <v>0.12592592592592591</v>
      </c>
    </row>
    <row r="77" spans="1:14" x14ac:dyDescent="0.3">
      <c r="A77" t="s">
        <v>404</v>
      </c>
      <c r="B77" t="s">
        <v>406</v>
      </c>
      <c r="C77" t="s">
        <v>407</v>
      </c>
      <c r="D77" t="s">
        <v>38</v>
      </c>
      <c r="E77" t="s">
        <v>45</v>
      </c>
      <c r="F77" t="s">
        <v>46</v>
      </c>
      <c r="G77">
        <v>51</v>
      </c>
      <c r="H77">
        <v>3</v>
      </c>
      <c r="I77">
        <v>0</v>
      </c>
      <c r="J77">
        <v>15</v>
      </c>
      <c r="K77" t="s">
        <v>26</v>
      </c>
      <c r="L77" s="1">
        <v>45029</v>
      </c>
      <c r="M77" s="2" t="str">
        <f>TEXT(working_data_2[[#This Row],[Date]], "mmm-yy")</f>
        <v>Apr-23</v>
      </c>
      <c r="N77" s="4">
        <f>IFERROR(working_data_2[[#This Row],[Profit]]/working_data_2[[#This Row],[Sales Amount]], 0)</f>
        <v>0.29411764705882354</v>
      </c>
    </row>
    <row r="78" spans="1:14" x14ac:dyDescent="0.3">
      <c r="A78" t="s">
        <v>408</v>
      </c>
      <c r="B78" t="s">
        <v>410</v>
      </c>
      <c r="C78" t="s">
        <v>411</v>
      </c>
      <c r="D78" t="s">
        <v>38</v>
      </c>
      <c r="E78" t="s">
        <v>32</v>
      </c>
      <c r="F78" t="s">
        <v>53</v>
      </c>
      <c r="G78">
        <v>152</v>
      </c>
      <c r="H78">
        <v>4</v>
      </c>
      <c r="I78">
        <v>0.1</v>
      </c>
      <c r="J78">
        <v>20</v>
      </c>
      <c r="K78" t="s">
        <v>26</v>
      </c>
      <c r="L78" s="1">
        <v>45030</v>
      </c>
      <c r="M78" s="2" t="str">
        <f>TEXT(working_data_2[[#This Row],[Date]], "mmm-yy")</f>
        <v>Apr-23</v>
      </c>
      <c r="N78" s="4">
        <f>IFERROR(working_data_2[[#This Row],[Profit]]/working_data_2[[#This Row],[Sales Amount]], 0)</f>
        <v>0.13157894736842105</v>
      </c>
    </row>
    <row r="79" spans="1:14" x14ac:dyDescent="0.3">
      <c r="A79" t="s">
        <v>412</v>
      </c>
      <c r="B79" t="s">
        <v>414</v>
      </c>
      <c r="C79" t="s">
        <v>415</v>
      </c>
      <c r="D79" t="s">
        <v>38</v>
      </c>
      <c r="E79" t="s">
        <v>16</v>
      </c>
      <c r="F79" t="s">
        <v>59</v>
      </c>
      <c r="G79">
        <v>302</v>
      </c>
      <c r="H79">
        <v>2</v>
      </c>
      <c r="I79">
        <v>0</v>
      </c>
      <c r="J79">
        <v>41</v>
      </c>
      <c r="K79" t="s">
        <v>18</v>
      </c>
      <c r="L79" s="1">
        <v>45031</v>
      </c>
      <c r="M79" s="2" t="str">
        <f>TEXT(working_data_2[[#This Row],[Date]], "mmm-yy")</f>
        <v>Apr-23</v>
      </c>
      <c r="N79" s="4">
        <f>IFERROR(working_data_2[[#This Row],[Profit]]/working_data_2[[#This Row],[Sales Amount]], 0)</f>
        <v>0.13576158940397351</v>
      </c>
    </row>
    <row r="80" spans="1:14" x14ac:dyDescent="0.3">
      <c r="A80" t="s">
        <v>416</v>
      </c>
      <c r="B80" t="s">
        <v>418</v>
      </c>
      <c r="C80" t="s">
        <v>2004</v>
      </c>
      <c r="D80" t="s">
        <v>38</v>
      </c>
      <c r="E80" t="s">
        <v>45</v>
      </c>
      <c r="F80" t="s">
        <v>63</v>
      </c>
      <c r="G80">
        <v>76</v>
      </c>
      <c r="H80">
        <v>1</v>
      </c>
      <c r="I80">
        <v>0.2</v>
      </c>
      <c r="J80">
        <v>15</v>
      </c>
      <c r="K80" t="s">
        <v>26</v>
      </c>
      <c r="L80" s="1">
        <v>45032</v>
      </c>
      <c r="M80" s="2" t="str">
        <f>TEXT(working_data_2[[#This Row],[Date]], "mmm-yy")</f>
        <v>Apr-23</v>
      </c>
      <c r="N80" s="4">
        <f>IFERROR(working_data_2[[#This Row],[Profit]]/working_data_2[[#This Row],[Sales Amount]], 0)</f>
        <v>0.19736842105263158</v>
      </c>
    </row>
    <row r="81" spans="1:14" x14ac:dyDescent="0.3">
      <c r="A81" t="s">
        <v>419</v>
      </c>
      <c r="B81" t="s">
        <v>421</v>
      </c>
      <c r="C81" t="s">
        <v>422</v>
      </c>
      <c r="D81" t="s">
        <v>38</v>
      </c>
      <c r="E81" t="s">
        <v>32</v>
      </c>
      <c r="F81" t="s">
        <v>68</v>
      </c>
      <c r="G81">
        <v>910</v>
      </c>
      <c r="H81">
        <v>1</v>
      </c>
      <c r="I81">
        <v>0.15</v>
      </c>
      <c r="J81">
        <v>102</v>
      </c>
      <c r="K81" t="s">
        <v>18</v>
      </c>
      <c r="L81" s="1">
        <v>45033</v>
      </c>
      <c r="M81" s="2" t="str">
        <f>TEXT(working_data_2[[#This Row],[Date]], "mmm-yy")</f>
        <v>Apr-23</v>
      </c>
      <c r="N81" s="4">
        <f>IFERROR(working_data_2[[#This Row],[Profit]]/working_data_2[[#This Row],[Sales Amount]], 0)</f>
        <v>0.11208791208791209</v>
      </c>
    </row>
    <row r="82" spans="1:14" x14ac:dyDescent="0.3">
      <c r="A82" t="s">
        <v>431</v>
      </c>
      <c r="B82" t="s">
        <v>433</v>
      </c>
      <c r="C82" t="s">
        <v>434</v>
      </c>
      <c r="D82" t="s">
        <v>38</v>
      </c>
      <c r="E82" t="s">
        <v>32</v>
      </c>
      <c r="F82" t="s">
        <v>84</v>
      </c>
      <c r="G82">
        <v>352</v>
      </c>
      <c r="H82">
        <v>1</v>
      </c>
      <c r="I82">
        <v>0.1</v>
      </c>
      <c r="J82">
        <v>41</v>
      </c>
      <c r="K82" t="s">
        <v>26</v>
      </c>
      <c r="L82" s="1">
        <v>45036</v>
      </c>
      <c r="M82" s="2" t="str">
        <f>TEXT(working_data_2[[#This Row],[Date]], "mmm-yy")</f>
        <v>Apr-23</v>
      </c>
      <c r="N82" s="4">
        <f>IFERROR(working_data_2[[#This Row],[Profit]]/working_data_2[[#This Row],[Sales Amount]], 0)</f>
        <v>0.11647727272727272</v>
      </c>
    </row>
    <row r="83" spans="1:14" x14ac:dyDescent="0.3">
      <c r="A83" t="s">
        <v>435</v>
      </c>
      <c r="B83" t="s">
        <v>437</v>
      </c>
      <c r="C83" t="s">
        <v>438</v>
      </c>
      <c r="D83" t="s">
        <v>38</v>
      </c>
      <c r="E83" t="s">
        <v>16</v>
      </c>
      <c r="F83" t="s">
        <v>89</v>
      </c>
      <c r="G83">
        <v>252</v>
      </c>
      <c r="H83">
        <v>2</v>
      </c>
      <c r="I83">
        <v>0.05</v>
      </c>
      <c r="J83">
        <v>31</v>
      </c>
      <c r="K83" t="s">
        <v>18</v>
      </c>
      <c r="L83" s="1">
        <v>45037</v>
      </c>
      <c r="M83" s="2" t="str">
        <f>TEXT(working_data_2[[#This Row],[Date]], "mmm-yy")</f>
        <v>Apr-23</v>
      </c>
      <c r="N83" s="4">
        <f>IFERROR(working_data_2[[#This Row],[Profit]]/working_data_2[[#This Row],[Sales Amount]], 0)</f>
        <v>0.12301587301587301</v>
      </c>
    </row>
    <row r="84" spans="1:14" x14ac:dyDescent="0.3">
      <c r="A84" t="s">
        <v>439</v>
      </c>
      <c r="B84" t="s">
        <v>441</v>
      </c>
      <c r="C84" t="s">
        <v>442</v>
      </c>
      <c r="D84" t="s">
        <v>38</v>
      </c>
      <c r="E84" t="s">
        <v>45</v>
      </c>
      <c r="F84" t="s">
        <v>95</v>
      </c>
      <c r="G84">
        <v>152</v>
      </c>
      <c r="H84">
        <v>1</v>
      </c>
      <c r="I84">
        <v>0</v>
      </c>
      <c r="J84">
        <v>26</v>
      </c>
      <c r="K84" t="s">
        <v>26</v>
      </c>
      <c r="L84" s="1">
        <v>45038</v>
      </c>
      <c r="M84" s="2" t="str">
        <f>TEXT(working_data_2[[#This Row],[Date]], "mmm-yy")</f>
        <v>Apr-23</v>
      </c>
      <c r="N84" s="4">
        <f>IFERROR(working_data_2[[#This Row],[Profit]]/working_data_2[[#This Row],[Sales Amount]], 0)</f>
        <v>0.17105263157894737</v>
      </c>
    </row>
    <row r="85" spans="1:14" x14ac:dyDescent="0.3">
      <c r="A85" t="s">
        <v>443</v>
      </c>
      <c r="B85" t="s">
        <v>445</v>
      </c>
      <c r="C85" t="s">
        <v>446</v>
      </c>
      <c r="D85" t="s">
        <v>38</v>
      </c>
      <c r="E85" t="s">
        <v>32</v>
      </c>
      <c r="F85" t="s">
        <v>100</v>
      </c>
      <c r="G85">
        <v>202</v>
      </c>
      <c r="H85">
        <v>1</v>
      </c>
      <c r="I85">
        <v>0.1</v>
      </c>
      <c r="J85">
        <v>21</v>
      </c>
      <c r="K85" t="s">
        <v>18</v>
      </c>
      <c r="L85" s="1">
        <v>45039</v>
      </c>
      <c r="M85" s="2" t="str">
        <f>TEXT(working_data_2[[#This Row],[Date]], "mmm-yy")</f>
        <v>Apr-23</v>
      </c>
      <c r="N85" s="4">
        <f>IFERROR(working_data_2[[#This Row],[Profit]]/working_data_2[[#This Row],[Sales Amount]], 0)</f>
        <v>0.10396039603960396</v>
      </c>
    </row>
    <row r="86" spans="1:14" x14ac:dyDescent="0.3">
      <c r="A86" t="s">
        <v>447</v>
      </c>
      <c r="B86" t="s">
        <v>449</v>
      </c>
      <c r="C86" t="s">
        <v>450</v>
      </c>
      <c r="D86" t="s">
        <v>38</v>
      </c>
      <c r="E86" t="s">
        <v>16</v>
      </c>
      <c r="F86" t="s">
        <v>106</v>
      </c>
      <c r="G86">
        <v>202</v>
      </c>
      <c r="H86">
        <v>1</v>
      </c>
      <c r="I86">
        <v>0</v>
      </c>
      <c r="J86">
        <v>41</v>
      </c>
      <c r="K86" t="s">
        <v>26</v>
      </c>
      <c r="L86" s="1">
        <v>45040</v>
      </c>
      <c r="M86" s="2" t="str">
        <f>TEXT(working_data_2[[#This Row],[Date]], "mmm-yy")</f>
        <v>Apr-23</v>
      </c>
      <c r="N86" s="4">
        <f>IFERROR(working_data_2[[#This Row],[Profit]]/working_data_2[[#This Row],[Sales Amount]], 0)</f>
        <v>0.20297029702970298</v>
      </c>
    </row>
    <row r="87" spans="1:14" x14ac:dyDescent="0.3">
      <c r="A87" t="s">
        <v>451</v>
      </c>
      <c r="B87" t="s">
        <v>453</v>
      </c>
      <c r="C87" t="s">
        <v>454</v>
      </c>
      <c r="D87" t="s">
        <v>38</v>
      </c>
      <c r="E87" t="s">
        <v>45</v>
      </c>
      <c r="F87" t="s">
        <v>112</v>
      </c>
      <c r="G87">
        <v>61</v>
      </c>
      <c r="H87">
        <v>2</v>
      </c>
      <c r="I87">
        <v>0.1</v>
      </c>
      <c r="J87">
        <v>10</v>
      </c>
      <c r="K87" t="s">
        <v>18</v>
      </c>
      <c r="L87" s="1">
        <v>45041</v>
      </c>
      <c r="M87" s="2" t="str">
        <f>TEXT(working_data_2[[#This Row],[Date]], "mmm-yy")</f>
        <v>Apr-23</v>
      </c>
      <c r="N87" s="4">
        <f>IFERROR(working_data_2[[#This Row],[Profit]]/working_data_2[[#This Row],[Sales Amount]], 0)</f>
        <v>0.16393442622950818</v>
      </c>
    </row>
    <row r="88" spans="1:14" x14ac:dyDescent="0.3">
      <c r="A88" t="s">
        <v>455</v>
      </c>
      <c r="B88" t="s">
        <v>457</v>
      </c>
      <c r="C88" t="s">
        <v>2004</v>
      </c>
      <c r="D88" t="s">
        <v>38</v>
      </c>
      <c r="E88" t="s">
        <v>32</v>
      </c>
      <c r="F88" t="s">
        <v>117</v>
      </c>
      <c r="G88">
        <v>1010</v>
      </c>
      <c r="H88">
        <v>1</v>
      </c>
      <c r="I88">
        <v>0.2</v>
      </c>
      <c r="J88">
        <v>152</v>
      </c>
      <c r="K88" t="s">
        <v>26</v>
      </c>
      <c r="L88" s="1">
        <v>45042</v>
      </c>
      <c r="M88" s="2" t="str">
        <f>TEXT(working_data_2[[#This Row],[Date]], "mmm-yy")</f>
        <v>Apr-23</v>
      </c>
      <c r="N88" s="4">
        <f>IFERROR(working_data_2[[#This Row],[Profit]]/working_data_2[[#This Row],[Sales Amount]], 0)</f>
        <v>0.15049504950495049</v>
      </c>
    </row>
    <row r="89" spans="1:14" x14ac:dyDescent="0.3">
      <c r="A89" t="s">
        <v>458</v>
      </c>
      <c r="B89" t="s">
        <v>1944</v>
      </c>
      <c r="C89" t="s">
        <v>461</v>
      </c>
      <c r="D89" t="s">
        <v>38</v>
      </c>
      <c r="E89" t="s">
        <v>16</v>
      </c>
      <c r="F89" t="s">
        <v>123</v>
      </c>
      <c r="G89">
        <v>610</v>
      </c>
      <c r="H89">
        <v>1</v>
      </c>
      <c r="I89">
        <v>0</v>
      </c>
      <c r="J89">
        <v>82</v>
      </c>
      <c r="K89" t="s">
        <v>18</v>
      </c>
      <c r="L89" s="1">
        <v>45043</v>
      </c>
      <c r="M89" s="2" t="str">
        <f>TEXT(working_data_2[[#This Row],[Date]], "mmm-yy")</f>
        <v>Apr-23</v>
      </c>
      <c r="N89" s="4">
        <f>IFERROR(working_data_2[[#This Row],[Profit]]/working_data_2[[#This Row],[Sales Amount]], 0)</f>
        <v>0.13442622950819672</v>
      </c>
    </row>
    <row r="90" spans="1:14" x14ac:dyDescent="0.3">
      <c r="A90" t="s">
        <v>462</v>
      </c>
      <c r="B90" t="s">
        <v>464</v>
      </c>
      <c r="C90" t="s">
        <v>465</v>
      </c>
      <c r="D90" t="s">
        <v>38</v>
      </c>
      <c r="E90" t="s">
        <v>45</v>
      </c>
      <c r="F90" t="s">
        <v>129</v>
      </c>
      <c r="G90">
        <v>31</v>
      </c>
      <c r="H90">
        <v>3</v>
      </c>
      <c r="I90">
        <v>0</v>
      </c>
      <c r="J90">
        <v>5</v>
      </c>
      <c r="K90" t="s">
        <v>26</v>
      </c>
      <c r="L90" s="1">
        <v>45044</v>
      </c>
      <c r="M90" s="2" t="str">
        <f>TEXT(working_data_2[[#This Row],[Date]], "mmm-yy")</f>
        <v>Apr-23</v>
      </c>
      <c r="N90" s="4">
        <f>IFERROR(working_data_2[[#This Row],[Profit]]/working_data_2[[#This Row],[Sales Amount]], 0)</f>
        <v>0.16129032258064516</v>
      </c>
    </row>
    <row r="91" spans="1:14" x14ac:dyDescent="0.3">
      <c r="A91" t="s">
        <v>470</v>
      </c>
      <c r="B91" t="s">
        <v>472</v>
      </c>
      <c r="C91" t="s">
        <v>473</v>
      </c>
      <c r="D91" t="s">
        <v>38</v>
      </c>
      <c r="E91" t="s">
        <v>16</v>
      </c>
      <c r="F91" t="s">
        <v>141</v>
      </c>
      <c r="G91">
        <v>81</v>
      </c>
      <c r="H91">
        <v>2</v>
      </c>
      <c r="I91">
        <v>0.1</v>
      </c>
      <c r="J91">
        <v>15</v>
      </c>
      <c r="K91" t="s">
        <v>26</v>
      </c>
      <c r="L91" s="1">
        <v>45046</v>
      </c>
      <c r="M91" s="2" t="str">
        <f>TEXT(working_data_2[[#This Row],[Date]], "mmm-yy")</f>
        <v>Apr-23</v>
      </c>
      <c r="N91" s="4">
        <f>IFERROR(working_data_2[[#This Row],[Profit]]/working_data_2[[#This Row],[Sales Amount]], 0)</f>
        <v>0.18518518518518517</v>
      </c>
    </row>
    <row r="92" spans="1:14" x14ac:dyDescent="0.3">
      <c r="A92" t="s">
        <v>474</v>
      </c>
      <c r="B92" t="s">
        <v>476</v>
      </c>
      <c r="C92" t="s">
        <v>477</v>
      </c>
      <c r="D92" t="s">
        <v>38</v>
      </c>
      <c r="E92" t="s">
        <v>45</v>
      </c>
      <c r="F92" t="s">
        <v>146</v>
      </c>
      <c r="G92">
        <v>15</v>
      </c>
      <c r="H92">
        <v>5</v>
      </c>
      <c r="I92">
        <v>0</v>
      </c>
      <c r="J92">
        <v>5</v>
      </c>
      <c r="K92" t="s">
        <v>18</v>
      </c>
      <c r="L92" s="1">
        <v>44931</v>
      </c>
      <c r="M92" s="2" t="str">
        <f>TEXT(working_data_2[[#This Row],[Date]], "mmm-yy")</f>
        <v>Jan-23</v>
      </c>
      <c r="N92" s="4">
        <f>IFERROR(working_data_2[[#This Row],[Profit]]/working_data_2[[#This Row],[Sales Amount]], 0)</f>
        <v>0.33333333333333331</v>
      </c>
    </row>
    <row r="93" spans="1:14" x14ac:dyDescent="0.3">
      <c r="A93" t="s">
        <v>478</v>
      </c>
      <c r="B93" t="s">
        <v>480</v>
      </c>
      <c r="C93" t="s">
        <v>481</v>
      </c>
      <c r="D93" t="s">
        <v>38</v>
      </c>
      <c r="E93" t="s">
        <v>32</v>
      </c>
      <c r="F93" t="s">
        <v>152</v>
      </c>
      <c r="G93">
        <v>41</v>
      </c>
      <c r="H93">
        <v>4</v>
      </c>
      <c r="I93">
        <v>0</v>
      </c>
      <c r="J93">
        <v>10</v>
      </c>
      <c r="K93" t="s">
        <v>26</v>
      </c>
      <c r="L93" s="1">
        <v>45048</v>
      </c>
      <c r="M93" s="2" t="str">
        <f>TEXT(working_data_2[[#This Row],[Date]], "mmm-yy")</f>
        <v>May-23</v>
      </c>
      <c r="N93" s="4">
        <f>IFERROR(working_data_2[[#This Row],[Profit]]/working_data_2[[#This Row],[Sales Amount]], 0)</f>
        <v>0.24390243902439024</v>
      </c>
    </row>
    <row r="94" spans="1:14" x14ac:dyDescent="0.3">
      <c r="A94" t="s">
        <v>482</v>
      </c>
      <c r="B94" t="s">
        <v>484</v>
      </c>
      <c r="C94" t="s">
        <v>485</v>
      </c>
      <c r="D94" t="s">
        <v>38</v>
      </c>
      <c r="E94" t="s">
        <v>16</v>
      </c>
      <c r="F94" t="s">
        <v>158</v>
      </c>
      <c r="G94">
        <v>51</v>
      </c>
      <c r="H94">
        <v>2</v>
      </c>
      <c r="I94">
        <v>0</v>
      </c>
      <c r="J94">
        <v>10</v>
      </c>
      <c r="K94" t="s">
        <v>18</v>
      </c>
      <c r="L94" s="1">
        <v>45049</v>
      </c>
      <c r="M94" s="2" t="str">
        <f>TEXT(working_data_2[[#This Row],[Date]], "mmm-yy")</f>
        <v>May-23</v>
      </c>
      <c r="N94" s="4">
        <f>IFERROR(working_data_2[[#This Row],[Profit]]/working_data_2[[#This Row],[Sales Amount]], 0)</f>
        <v>0.19607843137254902</v>
      </c>
    </row>
    <row r="95" spans="1:14" x14ac:dyDescent="0.3">
      <c r="A95" t="s">
        <v>486</v>
      </c>
      <c r="B95" t="s">
        <v>488</v>
      </c>
      <c r="C95" t="s">
        <v>2004</v>
      </c>
      <c r="D95" t="s">
        <v>38</v>
      </c>
      <c r="E95" t="s">
        <v>45</v>
      </c>
      <c r="F95" t="s">
        <v>163</v>
      </c>
      <c r="G95">
        <v>20</v>
      </c>
      <c r="H95">
        <v>1</v>
      </c>
      <c r="I95">
        <v>0</v>
      </c>
      <c r="J95">
        <v>5</v>
      </c>
      <c r="K95" t="s">
        <v>26</v>
      </c>
      <c r="L95" s="1">
        <v>45021</v>
      </c>
      <c r="M95" s="2" t="str">
        <f>TEXT(working_data_2[[#This Row],[Date]], "mmm-yy")</f>
        <v>Apr-23</v>
      </c>
      <c r="N95" s="4">
        <f>IFERROR(working_data_2[[#This Row],[Profit]]/working_data_2[[#This Row],[Sales Amount]], 0)</f>
        <v>0.25</v>
      </c>
    </row>
    <row r="96" spans="1:14" x14ac:dyDescent="0.3">
      <c r="A96" t="s">
        <v>489</v>
      </c>
      <c r="B96" t="s">
        <v>491</v>
      </c>
      <c r="C96" t="s">
        <v>492</v>
      </c>
      <c r="D96" t="s">
        <v>38</v>
      </c>
      <c r="E96" t="s">
        <v>32</v>
      </c>
      <c r="F96" t="s">
        <v>168</v>
      </c>
      <c r="G96">
        <v>61</v>
      </c>
      <c r="H96">
        <v>2</v>
      </c>
      <c r="I96">
        <v>0.1</v>
      </c>
      <c r="J96">
        <v>10</v>
      </c>
      <c r="K96" t="s">
        <v>18</v>
      </c>
      <c r="L96" s="1">
        <v>45051</v>
      </c>
      <c r="M96" s="2" t="str">
        <f>TEXT(working_data_2[[#This Row],[Date]], "mmm-yy")</f>
        <v>May-23</v>
      </c>
      <c r="N96" s="4">
        <f>IFERROR(working_data_2[[#This Row],[Profit]]/working_data_2[[#This Row],[Sales Amount]], 0)</f>
        <v>0.16393442622950818</v>
      </c>
    </row>
    <row r="97" spans="1:14" x14ac:dyDescent="0.3">
      <c r="A97" t="s">
        <v>493</v>
      </c>
      <c r="B97" t="s">
        <v>495</v>
      </c>
      <c r="C97" t="s">
        <v>496</v>
      </c>
      <c r="D97" t="s">
        <v>38</v>
      </c>
      <c r="E97" t="s">
        <v>16</v>
      </c>
      <c r="F97" t="s">
        <v>174</v>
      </c>
      <c r="G97">
        <v>25</v>
      </c>
      <c r="H97">
        <v>3</v>
      </c>
      <c r="I97">
        <v>0</v>
      </c>
      <c r="J97">
        <v>5</v>
      </c>
      <c r="K97" t="s">
        <v>26</v>
      </c>
      <c r="L97" s="1">
        <v>45082</v>
      </c>
      <c r="M97" s="2" t="str">
        <f>TEXT(working_data_2[[#This Row],[Date]], "mmm-yy")</f>
        <v>Jun-23</v>
      </c>
      <c r="N97" s="4">
        <f>IFERROR(working_data_2[[#This Row],[Profit]]/working_data_2[[#This Row],[Sales Amount]], 0)</f>
        <v>0.2</v>
      </c>
    </row>
    <row r="98" spans="1:14" x14ac:dyDescent="0.3">
      <c r="A98" t="s">
        <v>497</v>
      </c>
      <c r="B98" t="s">
        <v>1945</v>
      </c>
      <c r="C98" t="s">
        <v>44</v>
      </c>
      <c r="D98" t="s">
        <v>31</v>
      </c>
      <c r="E98" t="s">
        <v>16</v>
      </c>
      <c r="F98" t="s">
        <v>17</v>
      </c>
      <c r="G98">
        <v>1190</v>
      </c>
      <c r="H98">
        <v>1</v>
      </c>
      <c r="I98">
        <v>0.1</v>
      </c>
      <c r="J98">
        <v>148</v>
      </c>
      <c r="K98" t="s">
        <v>18</v>
      </c>
      <c r="L98" s="1">
        <v>45112</v>
      </c>
      <c r="M98" s="2" t="str">
        <f>TEXT(working_data_2[[#This Row],[Date]], "mmm-yy")</f>
        <v>Jul-23</v>
      </c>
      <c r="N98" s="4">
        <f>IFERROR(working_data_2[[#This Row],[Profit]]/working_data_2[[#This Row],[Sales Amount]], 0)</f>
        <v>0.12436974789915967</v>
      </c>
    </row>
    <row r="99" spans="1:14" x14ac:dyDescent="0.3">
      <c r="A99" t="s">
        <v>500</v>
      </c>
      <c r="B99" t="s">
        <v>1946</v>
      </c>
      <c r="C99" t="s">
        <v>503</v>
      </c>
      <c r="D99" t="s">
        <v>31</v>
      </c>
      <c r="E99" t="s">
        <v>45</v>
      </c>
      <c r="F99" t="s">
        <v>25</v>
      </c>
      <c r="G99">
        <v>26</v>
      </c>
      <c r="H99">
        <v>2</v>
      </c>
      <c r="I99">
        <v>0</v>
      </c>
      <c r="J99">
        <v>11</v>
      </c>
      <c r="K99" t="s">
        <v>26</v>
      </c>
      <c r="L99" s="1">
        <v>45054</v>
      </c>
      <c r="M99" s="2" t="str">
        <f>TEXT(working_data_2[[#This Row],[Date]], "mmm-yy")</f>
        <v>May-23</v>
      </c>
      <c r="N99" s="4">
        <f>IFERROR(working_data_2[[#This Row],[Profit]]/working_data_2[[#This Row],[Sales Amount]], 0)</f>
        <v>0.42307692307692307</v>
      </c>
    </row>
    <row r="100" spans="1:14" x14ac:dyDescent="0.3">
      <c r="A100" t="s">
        <v>507</v>
      </c>
      <c r="B100" t="s">
        <v>1947</v>
      </c>
      <c r="C100" t="s">
        <v>78</v>
      </c>
      <c r="D100" t="s">
        <v>31</v>
      </c>
      <c r="E100" t="s">
        <v>16</v>
      </c>
      <c r="F100" t="s">
        <v>39</v>
      </c>
      <c r="G100">
        <v>830</v>
      </c>
      <c r="H100">
        <v>1</v>
      </c>
      <c r="I100">
        <v>0.05</v>
      </c>
      <c r="J100">
        <v>108</v>
      </c>
      <c r="K100" t="s">
        <v>18</v>
      </c>
      <c r="L100" s="1">
        <v>45204</v>
      </c>
      <c r="M100" s="2" t="str">
        <f>TEXT(working_data_2[[#This Row],[Date]], "mmm-yy")</f>
        <v>Oct-23</v>
      </c>
      <c r="N100" s="4">
        <f>IFERROR(working_data_2[[#This Row],[Profit]]/working_data_2[[#This Row],[Sales Amount]], 0)</f>
        <v>0.13012048192771083</v>
      </c>
    </row>
    <row r="101" spans="1:14" x14ac:dyDescent="0.3">
      <c r="A101" t="s">
        <v>510</v>
      </c>
      <c r="B101" t="s">
        <v>512</v>
      </c>
      <c r="C101" t="s">
        <v>88</v>
      </c>
      <c r="D101" t="s">
        <v>31</v>
      </c>
      <c r="E101" t="s">
        <v>45</v>
      </c>
      <c r="F101" t="s">
        <v>46</v>
      </c>
      <c r="G101">
        <v>54</v>
      </c>
      <c r="H101">
        <v>3</v>
      </c>
      <c r="I101">
        <v>0</v>
      </c>
      <c r="J101">
        <v>17</v>
      </c>
      <c r="K101" t="s">
        <v>26</v>
      </c>
      <c r="L101" s="1">
        <v>45235</v>
      </c>
      <c r="M101" s="2" t="str">
        <f>TEXT(working_data_2[[#This Row],[Date]], "mmm-yy")</f>
        <v>Nov-23</v>
      </c>
      <c r="N101" s="4">
        <f>IFERROR(working_data_2[[#This Row],[Profit]]/working_data_2[[#This Row],[Sales Amount]], 0)</f>
        <v>0.31481481481481483</v>
      </c>
    </row>
    <row r="102" spans="1:14" x14ac:dyDescent="0.3">
      <c r="A102" t="s">
        <v>513</v>
      </c>
      <c r="B102" t="s">
        <v>515</v>
      </c>
      <c r="C102" t="s">
        <v>99</v>
      </c>
      <c r="D102" t="s">
        <v>31</v>
      </c>
      <c r="E102" t="s">
        <v>32</v>
      </c>
      <c r="F102" t="s">
        <v>53</v>
      </c>
      <c r="G102">
        <v>158</v>
      </c>
      <c r="H102">
        <v>4</v>
      </c>
      <c r="I102">
        <v>0.1</v>
      </c>
      <c r="J102">
        <v>23</v>
      </c>
      <c r="K102" t="s">
        <v>26</v>
      </c>
      <c r="L102" s="1">
        <v>45058</v>
      </c>
      <c r="M102" s="2" t="str">
        <f>TEXT(working_data_2[[#This Row],[Date]], "mmm-yy")</f>
        <v>May-23</v>
      </c>
      <c r="N102" s="4">
        <f>IFERROR(working_data_2[[#This Row],[Profit]]/working_data_2[[#This Row],[Sales Amount]], 0)</f>
        <v>0.14556962025316456</v>
      </c>
    </row>
    <row r="103" spans="1:14" x14ac:dyDescent="0.3">
      <c r="A103" t="s">
        <v>516</v>
      </c>
      <c r="B103" t="s">
        <v>518</v>
      </c>
      <c r="C103" t="s">
        <v>145</v>
      </c>
      <c r="D103" t="s">
        <v>31</v>
      </c>
      <c r="E103" t="s">
        <v>16</v>
      </c>
      <c r="F103" t="s">
        <v>59</v>
      </c>
      <c r="G103">
        <v>308</v>
      </c>
      <c r="H103">
        <v>2</v>
      </c>
      <c r="I103">
        <v>0</v>
      </c>
      <c r="J103">
        <v>44</v>
      </c>
      <c r="K103" t="s">
        <v>18</v>
      </c>
      <c r="L103" s="1">
        <v>45059</v>
      </c>
      <c r="M103" s="2" t="str">
        <f>TEXT(working_data_2[[#This Row],[Date]], "mmm-yy")</f>
        <v>May-23</v>
      </c>
      <c r="N103" s="4">
        <f>IFERROR(working_data_2[[#This Row],[Profit]]/working_data_2[[#This Row],[Sales Amount]], 0)</f>
        <v>0.14285714285714285</v>
      </c>
    </row>
    <row r="104" spans="1:14" x14ac:dyDescent="0.3">
      <c r="A104" t="s">
        <v>519</v>
      </c>
      <c r="B104" t="s">
        <v>521</v>
      </c>
      <c r="C104" t="s">
        <v>2004</v>
      </c>
      <c r="D104" t="s">
        <v>31</v>
      </c>
      <c r="E104" t="s">
        <v>45</v>
      </c>
      <c r="F104" t="s">
        <v>63</v>
      </c>
      <c r="G104">
        <v>79</v>
      </c>
      <c r="H104">
        <v>1</v>
      </c>
      <c r="I104">
        <v>0.2</v>
      </c>
      <c r="J104">
        <v>17</v>
      </c>
      <c r="K104" t="s">
        <v>26</v>
      </c>
      <c r="L104" s="1">
        <v>45060</v>
      </c>
      <c r="M104" s="2" t="str">
        <f>TEXT(working_data_2[[#This Row],[Date]], "mmm-yy")</f>
        <v>May-23</v>
      </c>
      <c r="N104" s="4">
        <f>IFERROR(working_data_2[[#This Row],[Profit]]/working_data_2[[#This Row],[Sales Amount]], 0)</f>
        <v>0.21518987341772153</v>
      </c>
    </row>
    <row r="105" spans="1:14" x14ac:dyDescent="0.3">
      <c r="A105" t="s">
        <v>522</v>
      </c>
      <c r="B105" t="s">
        <v>524</v>
      </c>
      <c r="C105" t="s">
        <v>525</v>
      </c>
      <c r="D105" t="s">
        <v>31</v>
      </c>
      <c r="E105" t="s">
        <v>32</v>
      </c>
      <c r="F105" t="s">
        <v>68</v>
      </c>
      <c r="G105">
        <v>940</v>
      </c>
      <c r="H105">
        <v>1</v>
      </c>
      <c r="I105">
        <v>0.15</v>
      </c>
      <c r="J105">
        <v>108</v>
      </c>
      <c r="K105" t="s">
        <v>18</v>
      </c>
      <c r="L105" s="1">
        <v>45061</v>
      </c>
      <c r="M105" s="2" t="str">
        <f>TEXT(working_data_2[[#This Row],[Date]], "mmm-yy")</f>
        <v>May-23</v>
      </c>
      <c r="N105" s="4">
        <f>IFERROR(working_data_2[[#This Row],[Profit]]/working_data_2[[#This Row],[Sales Amount]], 0)</f>
        <v>0.1148936170212766</v>
      </c>
    </row>
    <row r="106" spans="1:14" x14ac:dyDescent="0.3">
      <c r="A106" t="s">
        <v>533</v>
      </c>
      <c r="B106" t="s">
        <v>535</v>
      </c>
      <c r="C106" t="s">
        <v>536</v>
      </c>
      <c r="D106" t="s">
        <v>31</v>
      </c>
      <c r="E106" t="s">
        <v>32</v>
      </c>
      <c r="F106" t="s">
        <v>84</v>
      </c>
      <c r="G106">
        <v>358</v>
      </c>
      <c r="H106">
        <v>1</v>
      </c>
      <c r="I106">
        <v>0.1</v>
      </c>
      <c r="J106">
        <v>44</v>
      </c>
      <c r="K106" t="s">
        <v>26</v>
      </c>
      <c r="L106" s="1">
        <v>45064</v>
      </c>
      <c r="M106" s="2" t="str">
        <f>TEXT(working_data_2[[#This Row],[Date]], "mmm-yy")</f>
        <v>May-23</v>
      </c>
      <c r="N106" s="4">
        <f>IFERROR(working_data_2[[#This Row],[Profit]]/working_data_2[[#This Row],[Sales Amount]], 0)</f>
        <v>0.12290502793296089</v>
      </c>
    </row>
    <row r="107" spans="1:14" x14ac:dyDescent="0.3">
      <c r="A107" t="s">
        <v>537</v>
      </c>
      <c r="B107" t="s">
        <v>539</v>
      </c>
      <c r="C107" t="s">
        <v>540</v>
      </c>
      <c r="D107" t="s">
        <v>31</v>
      </c>
      <c r="E107" t="s">
        <v>16</v>
      </c>
      <c r="F107" t="s">
        <v>89</v>
      </c>
      <c r="G107">
        <v>258</v>
      </c>
      <c r="H107">
        <v>2</v>
      </c>
      <c r="I107">
        <v>0.05</v>
      </c>
      <c r="J107">
        <v>34</v>
      </c>
      <c r="K107" t="s">
        <v>18</v>
      </c>
      <c r="L107" s="1">
        <v>45065</v>
      </c>
      <c r="M107" s="2" t="str">
        <f>TEXT(working_data_2[[#This Row],[Date]], "mmm-yy")</f>
        <v>May-23</v>
      </c>
      <c r="N107" s="4">
        <f>IFERROR(working_data_2[[#This Row],[Profit]]/working_data_2[[#This Row],[Sales Amount]], 0)</f>
        <v>0.13178294573643412</v>
      </c>
    </row>
    <row r="108" spans="1:14" x14ac:dyDescent="0.3">
      <c r="A108" t="s">
        <v>541</v>
      </c>
      <c r="B108" t="s">
        <v>543</v>
      </c>
      <c r="C108" t="s">
        <v>217</v>
      </c>
      <c r="D108" t="s">
        <v>31</v>
      </c>
      <c r="E108" t="s">
        <v>45</v>
      </c>
      <c r="F108" t="s">
        <v>95</v>
      </c>
      <c r="G108">
        <v>158</v>
      </c>
      <c r="H108">
        <v>1</v>
      </c>
      <c r="I108">
        <v>0</v>
      </c>
      <c r="J108">
        <v>29</v>
      </c>
      <c r="K108" t="s">
        <v>26</v>
      </c>
      <c r="L108" s="1">
        <v>45066</v>
      </c>
      <c r="M108" s="2" t="str">
        <f>TEXT(working_data_2[[#This Row],[Date]], "mmm-yy")</f>
        <v>May-23</v>
      </c>
      <c r="N108" s="4">
        <f>IFERROR(working_data_2[[#This Row],[Profit]]/working_data_2[[#This Row],[Sales Amount]], 0)</f>
        <v>0.18354430379746836</v>
      </c>
    </row>
    <row r="109" spans="1:14" x14ac:dyDescent="0.3">
      <c r="A109" t="s">
        <v>544</v>
      </c>
      <c r="B109" t="s">
        <v>546</v>
      </c>
      <c r="C109" t="s">
        <v>213</v>
      </c>
      <c r="D109" t="s">
        <v>31</v>
      </c>
      <c r="E109" t="s">
        <v>32</v>
      </c>
      <c r="F109" t="s">
        <v>100</v>
      </c>
      <c r="G109">
        <v>208</v>
      </c>
      <c r="H109">
        <v>1</v>
      </c>
      <c r="I109">
        <v>0.1</v>
      </c>
      <c r="J109">
        <v>24</v>
      </c>
      <c r="K109" t="s">
        <v>18</v>
      </c>
      <c r="L109" s="1">
        <v>45067</v>
      </c>
      <c r="M109" s="2" t="str">
        <f>TEXT(working_data_2[[#This Row],[Date]], "mmm-yy")</f>
        <v>May-23</v>
      </c>
      <c r="N109" s="4">
        <f>IFERROR(working_data_2[[#This Row],[Profit]]/working_data_2[[#This Row],[Sales Amount]], 0)</f>
        <v>0.11538461538461539</v>
      </c>
    </row>
    <row r="110" spans="1:14" x14ac:dyDescent="0.3">
      <c r="A110" t="s">
        <v>547</v>
      </c>
      <c r="B110" t="s">
        <v>549</v>
      </c>
      <c r="C110" t="s">
        <v>550</v>
      </c>
      <c r="D110" t="s">
        <v>31</v>
      </c>
      <c r="E110" t="s">
        <v>16</v>
      </c>
      <c r="F110" t="s">
        <v>106</v>
      </c>
      <c r="G110">
        <v>208</v>
      </c>
      <c r="H110">
        <v>1</v>
      </c>
      <c r="I110">
        <v>0</v>
      </c>
      <c r="J110">
        <v>44</v>
      </c>
      <c r="K110" t="s">
        <v>26</v>
      </c>
      <c r="L110" s="1">
        <v>45068</v>
      </c>
      <c r="M110" s="2" t="str">
        <f>TEXT(working_data_2[[#This Row],[Date]], "mmm-yy")</f>
        <v>May-23</v>
      </c>
      <c r="N110" s="4">
        <f>IFERROR(working_data_2[[#This Row],[Profit]]/working_data_2[[#This Row],[Sales Amount]], 0)</f>
        <v>0.21153846153846154</v>
      </c>
    </row>
    <row r="111" spans="1:14" x14ac:dyDescent="0.3">
      <c r="A111" t="s">
        <v>551</v>
      </c>
      <c r="B111" t="s">
        <v>553</v>
      </c>
      <c r="C111" t="s">
        <v>229</v>
      </c>
      <c r="D111" t="s">
        <v>31</v>
      </c>
      <c r="E111" t="s">
        <v>45</v>
      </c>
      <c r="F111" t="s">
        <v>112</v>
      </c>
      <c r="G111">
        <v>64</v>
      </c>
      <c r="H111">
        <v>2</v>
      </c>
      <c r="I111">
        <v>0.1</v>
      </c>
      <c r="J111">
        <v>13</v>
      </c>
      <c r="K111" t="s">
        <v>18</v>
      </c>
      <c r="L111" s="1">
        <v>45069</v>
      </c>
      <c r="M111" s="2" t="str">
        <f>TEXT(working_data_2[[#This Row],[Date]], "mmm-yy")</f>
        <v>May-23</v>
      </c>
      <c r="N111" s="4">
        <f>IFERROR(working_data_2[[#This Row],[Profit]]/working_data_2[[#This Row],[Sales Amount]], 0)</f>
        <v>0.203125</v>
      </c>
    </row>
    <row r="112" spans="1:14" x14ac:dyDescent="0.3">
      <c r="A112" t="s">
        <v>554</v>
      </c>
      <c r="B112" t="s">
        <v>556</v>
      </c>
      <c r="C112" t="s">
        <v>2004</v>
      </c>
      <c r="D112" t="s">
        <v>31</v>
      </c>
      <c r="E112" t="s">
        <v>32</v>
      </c>
      <c r="F112" t="s">
        <v>117</v>
      </c>
      <c r="G112">
        <v>1040</v>
      </c>
      <c r="H112">
        <v>1</v>
      </c>
      <c r="I112">
        <v>0.2</v>
      </c>
      <c r="J112">
        <v>158</v>
      </c>
      <c r="K112" t="s">
        <v>26</v>
      </c>
      <c r="L112" s="1">
        <v>45070</v>
      </c>
      <c r="M112" s="2" t="str">
        <f>TEXT(working_data_2[[#This Row],[Date]], "mmm-yy")</f>
        <v>May-23</v>
      </c>
      <c r="N112" s="4">
        <f>IFERROR(working_data_2[[#This Row],[Profit]]/working_data_2[[#This Row],[Sales Amount]], 0)</f>
        <v>0.15192307692307691</v>
      </c>
    </row>
    <row r="113" spans="1:14" x14ac:dyDescent="0.3">
      <c r="A113" t="s">
        <v>557</v>
      </c>
      <c r="B113" t="s">
        <v>559</v>
      </c>
      <c r="C113" t="s">
        <v>233</v>
      </c>
      <c r="D113" t="s">
        <v>31</v>
      </c>
      <c r="E113" t="s">
        <v>16</v>
      </c>
      <c r="F113" t="s">
        <v>123</v>
      </c>
      <c r="G113">
        <v>640</v>
      </c>
      <c r="H113">
        <v>1</v>
      </c>
      <c r="I113">
        <v>0</v>
      </c>
      <c r="J113">
        <v>88</v>
      </c>
      <c r="K113" t="s">
        <v>18</v>
      </c>
      <c r="L113" s="1">
        <v>45071</v>
      </c>
      <c r="M113" s="2" t="str">
        <f>TEXT(working_data_2[[#This Row],[Date]], "mmm-yy")</f>
        <v>May-23</v>
      </c>
      <c r="N113" s="4">
        <f>IFERROR(working_data_2[[#This Row],[Profit]]/working_data_2[[#This Row],[Sales Amount]], 0)</f>
        <v>0.13750000000000001</v>
      </c>
    </row>
    <row r="114" spans="1:14" x14ac:dyDescent="0.3">
      <c r="A114" t="s">
        <v>560</v>
      </c>
      <c r="B114" t="s">
        <v>562</v>
      </c>
      <c r="C114" t="s">
        <v>237</v>
      </c>
      <c r="D114" t="s">
        <v>31</v>
      </c>
      <c r="E114" t="s">
        <v>45</v>
      </c>
      <c r="F114" t="s">
        <v>129</v>
      </c>
      <c r="G114">
        <v>34</v>
      </c>
      <c r="H114">
        <v>3</v>
      </c>
      <c r="I114">
        <v>0</v>
      </c>
      <c r="J114">
        <v>7</v>
      </c>
      <c r="K114" t="s">
        <v>26</v>
      </c>
      <c r="L114" s="1">
        <v>45072</v>
      </c>
      <c r="M114" s="2" t="str">
        <f>TEXT(working_data_2[[#This Row],[Date]], "mmm-yy")</f>
        <v>May-23</v>
      </c>
      <c r="N114" s="4">
        <f>IFERROR(working_data_2[[#This Row],[Profit]]/working_data_2[[#This Row],[Sales Amount]], 0)</f>
        <v>0.20588235294117646</v>
      </c>
    </row>
    <row r="115" spans="1:14" x14ac:dyDescent="0.3">
      <c r="A115" t="s">
        <v>566</v>
      </c>
      <c r="B115" t="s">
        <v>1948</v>
      </c>
      <c r="C115" t="s">
        <v>241</v>
      </c>
      <c r="D115" t="s">
        <v>31</v>
      </c>
      <c r="E115" t="s">
        <v>16</v>
      </c>
      <c r="F115" t="s">
        <v>141</v>
      </c>
      <c r="G115">
        <v>84</v>
      </c>
      <c r="H115">
        <v>2</v>
      </c>
      <c r="I115">
        <v>0.1</v>
      </c>
      <c r="J115">
        <v>17</v>
      </c>
      <c r="K115" t="s">
        <v>26</v>
      </c>
      <c r="L115" s="1">
        <v>45074</v>
      </c>
      <c r="M115" s="2" t="str">
        <f>TEXT(working_data_2[[#This Row],[Date]], "mmm-yy")</f>
        <v>May-23</v>
      </c>
      <c r="N115" s="4">
        <f>IFERROR(working_data_2[[#This Row],[Profit]]/working_data_2[[#This Row],[Sales Amount]], 0)</f>
        <v>0.20238095238095238</v>
      </c>
    </row>
    <row r="116" spans="1:14" x14ac:dyDescent="0.3">
      <c r="A116" t="s">
        <v>569</v>
      </c>
      <c r="B116" t="s">
        <v>571</v>
      </c>
      <c r="C116" t="s">
        <v>572</v>
      </c>
      <c r="D116" t="s">
        <v>31</v>
      </c>
      <c r="E116" t="s">
        <v>45</v>
      </c>
      <c r="F116" t="s">
        <v>146</v>
      </c>
      <c r="G116">
        <v>17</v>
      </c>
      <c r="H116">
        <v>5</v>
      </c>
      <c r="I116">
        <v>0</v>
      </c>
      <c r="J116">
        <v>7</v>
      </c>
      <c r="K116" t="s">
        <v>18</v>
      </c>
      <c r="L116" s="1">
        <v>45075</v>
      </c>
      <c r="M116" s="2" t="str">
        <f>TEXT(working_data_2[[#This Row],[Date]], "mmm-yy")</f>
        <v>May-23</v>
      </c>
      <c r="N116" s="4">
        <f>IFERROR(working_data_2[[#This Row],[Profit]]/working_data_2[[#This Row],[Sales Amount]], 0)</f>
        <v>0.41176470588235292</v>
      </c>
    </row>
    <row r="117" spans="1:14" x14ac:dyDescent="0.3">
      <c r="A117" t="s">
        <v>573</v>
      </c>
      <c r="B117" t="s">
        <v>575</v>
      </c>
      <c r="C117" t="s">
        <v>221</v>
      </c>
      <c r="D117" t="s">
        <v>31</v>
      </c>
      <c r="E117" t="s">
        <v>32</v>
      </c>
      <c r="F117" t="s">
        <v>152</v>
      </c>
      <c r="G117">
        <v>44</v>
      </c>
      <c r="H117">
        <v>4</v>
      </c>
      <c r="I117">
        <v>0</v>
      </c>
      <c r="J117">
        <v>13</v>
      </c>
      <c r="K117" t="s">
        <v>26</v>
      </c>
      <c r="L117" s="1">
        <v>45076</v>
      </c>
      <c r="M117" s="2" t="str">
        <f>TEXT(working_data_2[[#This Row],[Date]], "mmm-yy")</f>
        <v>May-23</v>
      </c>
      <c r="N117" s="4">
        <f>IFERROR(working_data_2[[#This Row],[Profit]]/working_data_2[[#This Row],[Sales Amount]], 0)</f>
        <v>0.29545454545454547</v>
      </c>
    </row>
    <row r="118" spans="1:14" x14ac:dyDescent="0.3">
      <c r="A118" t="s">
        <v>576</v>
      </c>
      <c r="B118" t="s">
        <v>578</v>
      </c>
      <c r="C118" t="s">
        <v>579</v>
      </c>
      <c r="D118" t="s">
        <v>31</v>
      </c>
      <c r="E118" t="s">
        <v>16</v>
      </c>
      <c r="F118" t="s">
        <v>158</v>
      </c>
      <c r="G118">
        <v>54</v>
      </c>
      <c r="H118">
        <v>2</v>
      </c>
      <c r="I118">
        <v>0</v>
      </c>
      <c r="J118">
        <v>13</v>
      </c>
      <c r="K118" t="s">
        <v>18</v>
      </c>
      <c r="L118" s="1">
        <v>45077</v>
      </c>
      <c r="M118" s="2" t="str">
        <f>TEXT(working_data_2[[#This Row],[Date]], "mmm-yy")</f>
        <v>May-23</v>
      </c>
      <c r="N118" s="4">
        <f>IFERROR(working_data_2[[#This Row],[Profit]]/working_data_2[[#This Row],[Sales Amount]], 0)</f>
        <v>0.24074074074074073</v>
      </c>
    </row>
    <row r="119" spans="1:14" x14ac:dyDescent="0.3">
      <c r="A119" t="s">
        <v>580</v>
      </c>
      <c r="B119" t="s">
        <v>582</v>
      </c>
      <c r="C119" t="s">
        <v>2004</v>
      </c>
      <c r="D119" t="s">
        <v>31</v>
      </c>
      <c r="E119" t="s">
        <v>45</v>
      </c>
      <c r="F119" t="s">
        <v>163</v>
      </c>
      <c r="G119">
        <v>24</v>
      </c>
      <c r="H119">
        <v>1</v>
      </c>
      <c r="I119">
        <v>0</v>
      </c>
      <c r="J119">
        <v>7</v>
      </c>
      <c r="K119" t="s">
        <v>26</v>
      </c>
      <c r="L119" s="1">
        <v>44932</v>
      </c>
      <c r="M119" s="2" t="str">
        <f>TEXT(working_data_2[[#This Row],[Date]], "mmm-yy")</f>
        <v>Jan-23</v>
      </c>
      <c r="N119" s="4">
        <f>IFERROR(working_data_2[[#This Row],[Profit]]/working_data_2[[#This Row],[Sales Amount]], 0)</f>
        <v>0.29166666666666669</v>
      </c>
    </row>
    <row r="120" spans="1:14" x14ac:dyDescent="0.3">
      <c r="A120" t="s">
        <v>583</v>
      </c>
      <c r="B120" t="s">
        <v>585</v>
      </c>
      <c r="C120" t="s">
        <v>586</v>
      </c>
      <c r="D120" t="s">
        <v>31</v>
      </c>
      <c r="E120" t="s">
        <v>32</v>
      </c>
      <c r="F120" t="s">
        <v>168</v>
      </c>
      <c r="G120">
        <v>64</v>
      </c>
      <c r="H120">
        <v>2</v>
      </c>
      <c r="I120">
        <v>0.1</v>
      </c>
      <c r="J120">
        <v>13</v>
      </c>
      <c r="K120" t="s">
        <v>18</v>
      </c>
      <c r="L120" s="1">
        <v>45079</v>
      </c>
      <c r="M120" s="2" t="str">
        <f>TEXT(working_data_2[[#This Row],[Date]], "mmm-yy")</f>
        <v>Jun-23</v>
      </c>
      <c r="N120" s="4">
        <f>IFERROR(working_data_2[[#This Row],[Profit]]/working_data_2[[#This Row],[Sales Amount]], 0)</f>
        <v>0.203125</v>
      </c>
    </row>
    <row r="121" spans="1:14" x14ac:dyDescent="0.3">
      <c r="A121" t="s">
        <v>587</v>
      </c>
      <c r="B121" t="s">
        <v>589</v>
      </c>
      <c r="C121" t="s">
        <v>590</v>
      </c>
      <c r="D121" t="s">
        <v>31</v>
      </c>
      <c r="E121" t="s">
        <v>16</v>
      </c>
      <c r="F121" t="s">
        <v>174</v>
      </c>
      <c r="G121">
        <v>29</v>
      </c>
      <c r="H121">
        <v>3</v>
      </c>
      <c r="I121">
        <v>0</v>
      </c>
      <c r="J121">
        <v>7</v>
      </c>
      <c r="K121" t="s">
        <v>26</v>
      </c>
      <c r="L121" s="1">
        <v>44991</v>
      </c>
      <c r="M121" s="2" t="str">
        <f>TEXT(working_data_2[[#This Row],[Date]], "mmm-yy")</f>
        <v>Mar-23</v>
      </c>
      <c r="N121" s="4">
        <f>IFERROR(working_data_2[[#This Row],[Profit]]/working_data_2[[#This Row],[Sales Amount]], 0)</f>
        <v>0.2413793103448276</v>
      </c>
    </row>
    <row r="122" spans="1:14" x14ac:dyDescent="0.3">
      <c r="A122" t="s">
        <v>591</v>
      </c>
      <c r="B122" t="s">
        <v>1949</v>
      </c>
      <c r="C122" t="s">
        <v>57</v>
      </c>
      <c r="D122" t="s">
        <v>58</v>
      </c>
      <c r="E122" t="s">
        <v>16</v>
      </c>
      <c r="F122" t="s">
        <v>17</v>
      </c>
      <c r="G122">
        <v>1210</v>
      </c>
      <c r="H122">
        <v>1</v>
      </c>
      <c r="I122">
        <v>0.1</v>
      </c>
      <c r="J122">
        <v>152</v>
      </c>
      <c r="K122" t="s">
        <v>18</v>
      </c>
      <c r="L122" s="1">
        <v>45022</v>
      </c>
      <c r="M122" s="2" t="str">
        <f>TEXT(working_data_2[[#This Row],[Date]], "mmm-yy")</f>
        <v>Apr-23</v>
      </c>
      <c r="N122" s="4">
        <f>IFERROR(working_data_2[[#This Row],[Profit]]/working_data_2[[#This Row],[Sales Amount]], 0)</f>
        <v>0.12561983471074381</v>
      </c>
    </row>
    <row r="123" spans="1:14" x14ac:dyDescent="0.3">
      <c r="A123" t="s">
        <v>594</v>
      </c>
      <c r="B123" t="s">
        <v>690</v>
      </c>
      <c r="C123" t="s">
        <v>597</v>
      </c>
      <c r="D123" t="s">
        <v>58</v>
      </c>
      <c r="E123" t="s">
        <v>45</v>
      </c>
      <c r="F123" t="s">
        <v>25</v>
      </c>
      <c r="G123">
        <v>27</v>
      </c>
      <c r="H123">
        <v>2</v>
      </c>
      <c r="I123">
        <v>0</v>
      </c>
      <c r="J123">
        <v>12</v>
      </c>
      <c r="K123" t="s">
        <v>26</v>
      </c>
      <c r="L123" s="1">
        <v>45082</v>
      </c>
      <c r="M123" s="2" t="str">
        <f>TEXT(working_data_2[[#This Row],[Date]], "mmm-yy")</f>
        <v>Jun-23</v>
      </c>
      <c r="N123" s="4">
        <f>IFERROR(working_data_2[[#This Row],[Profit]]/working_data_2[[#This Row],[Sales Amount]], 0)</f>
        <v>0.44444444444444442</v>
      </c>
    </row>
    <row r="124" spans="1:14" x14ac:dyDescent="0.3">
      <c r="A124" t="s">
        <v>601</v>
      </c>
      <c r="B124" t="s">
        <v>1950</v>
      </c>
      <c r="C124" t="s">
        <v>604</v>
      </c>
      <c r="D124" t="s">
        <v>58</v>
      </c>
      <c r="E124" t="s">
        <v>16</v>
      </c>
      <c r="F124" t="s">
        <v>39</v>
      </c>
      <c r="G124">
        <v>840</v>
      </c>
      <c r="H124">
        <v>1</v>
      </c>
      <c r="I124">
        <v>0.05</v>
      </c>
      <c r="J124">
        <v>112</v>
      </c>
      <c r="K124" t="s">
        <v>18</v>
      </c>
      <c r="L124" s="1">
        <v>45113</v>
      </c>
      <c r="M124" s="2" t="str">
        <f>TEXT(working_data_2[[#This Row],[Date]], "mmm-yy")</f>
        <v>Jul-23</v>
      </c>
      <c r="N124" s="4">
        <f>IFERROR(working_data_2[[#This Row],[Profit]]/working_data_2[[#This Row],[Sales Amount]], 0)</f>
        <v>0.13333333333333333</v>
      </c>
    </row>
    <row r="125" spans="1:14" x14ac:dyDescent="0.3">
      <c r="A125" t="s">
        <v>605</v>
      </c>
      <c r="B125" t="s">
        <v>607</v>
      </c>
      <c r="C125" t="s">
        <v>608</v>
      </c>
      <c r="D125" t="s">
        <v>58</v>
      </c>
      <c r="E125" t="s">
        <v>45</v>
      </c>
      <c r="F125" t="s">
        <v>46</v>
      </c>
      <c r="G125">
        <v>56</v>
      </c>
      <c r="H125">
        <v>3</v>
      </c>
      <c r="I125">
        <v>0</v>
      </c>
      <c r="J125">
        <v>19</v>
      </c>
      <c r="K125" t="s">
        <v>26</v>
      </c>
      <c r="L125" s="1">
        <v>45144</v>
      </c>
      <c r="M125" s="2" t="str">
        <f>TEXT(working_data_2[[#This Row],[Date]], "mmm-yy")</f>
        <v>Aug-23</v>
      </c>
      <c r="N125" s="4">
        <f>IFERROR(working_data_2[[#This Row],[Profit]]/working_data_2[[#This Row],[Sales Amount]], 0)</f>
        <v>0.3392857142857143</v>
      </c>
    </row>
    <row r="126" spans="1:14" x14ac:dyDescent="0.3">
      <c r="A126" t="s">
        <v>609</v>
      </c>
      <c r="B126" t="s">
        <v>611</v>
      </c>
      <c r="C126" t="s">
        <v>612</v>
      </c>
      <c r="D126" t="s">
        <v>58</v>
      </c>
      <c r="E126" t="s">
        <v>32</v>
      </c>
      <c r="F126" t="s">
        <v>53</v>
      </c>
      <c r="G126">
        <v>162</v>
      </c>
      <c r="H126">
        <v>4</v>
      </c>
      <c r="I126">
        <v>0.1</v>
      </c>
      <c r="J126">
        <v>24</v>
      </c>
      <c r="K126" t="s">
        <v>26</v>
      </c>
      <c r="L126" s="1">
        <v>45086</v>
      </c>
      <c r="M126" s="2" t="str">
        <f>TEXT(working_data_2[[#This Row],[Date]], "mmm-yy")</f>
        <v>Jun-23</v>
      </c>
      <c r="N126" s="4">
        <f>IFERROR(working_data_2[[#This Row],[Profit]]/working_data_2[[#This Row],[Sales Amount]], 0)</f>
        <v>0.14814814814814814</v>
      </c>
    </row>
    <row r="127" spans="1:14" x14ac:dyDescent="0.3">
      <c r="A127" t="s">
        <v>613</v>
      </c>
      <c r="B127" t="s">
        <v>615</v>
      </c>
      <c r="C127" t="s">
        <v>616</v>
      </c>
      <c r="D127" t="s">
        <v>58</v>
      </c>
      <c r="E127" t="s">
        <v>16</v>
      </c>
      <c r="F127" t="s">
        <v>59</v>
      </c>
      <c r="G127">
        <v>312</v>
      </c>
      <c r="H127">
        <v>2</v>
      </c>
      <c r="I127">
        <v>0</v>
      </c>
      <c r="J127">
        <v>46</v>
      </c>
      <c r="K127" t="s">
        <v>18</v>
      </c>
      <c r="L127" s="1">
        <v>45205</v>
      </c>
      <c r="M127" s="2" t="str">
        <f>TEXT(working_data_2[[#This Row],[Date]], "mmm-yy")</f>
        <v>Oct-23</v>
      </c>
      <c r="N127" s="4">
        <f>IFERROR(working_data_2[[#This Row],[Profit]]/working_data_2[[#This Row],[Sales Amount]], 0)</f>
        <v>0.14743589743589744</v>
      </c>
    </row>
    <row r="128" spans="1:14" x14ac:dyDescent="0.3">
      <c r="A128" t="s">
        <v>617</v>
      </c>
      <c r="B128" t="s">
        <v>619</v>
      </c>
      <c r="C128" t="s">
        <v>2004</v>
      </c>
      <c r="D128" t="s">
        <v>58</v>
      </c>
      <c r="E128" t="s">
        <v>45</v>
      </c>
      <c r="F128" t="s">
        <v>63</v>
      </c>
      <c r="G128">
        <v>82</v>
      </c>
      <c r="H128">
        <v>1</v>
      </c>
      <c r="I128">
        <v>0.2</v>
      </c>
      <c r="J128">
        <v>19</v>
      </c>
      <c r="K128" t="s">
        <v>26</v>
      </c>
      <c r="L128" s="1">
        <v>45236</v>
      </c>
      <c r="M128" s="2" t="str">
        <f>TEXT(working_data_2[[#This Row],[Date]], "mmm-yy")</f>
        <v>Nov-23</v>
      </c>
      <c r="N128" s="4">
        <f>IFERROR(working_data_2[[#This Row],[Profit]]/working_data_2[[#This Row],[Sales Amount]], 0)</f>
        <v>0.23170731707317074</v>
      </c>
    </row>
    <row r="129" spans="1:14" x14ac:dyDescent="0.3">
      <c r="A129" t="s">
        <v>620</v>
      </c>
      <c r="B129" t="s">
        <v>622</v>
      </c>
      <c r="C129" t="s">
        <v>623</v>
      </c>
      <c r="D129" t="s">
        <v>58</v>
      </c>
      <c r="E129" t="s">
        <v>32</v>
      </c>
      <c r="F129" t="s">
        <v>68</v>
      </c>
      <c r="G129">
        <v>960</v>
      </c>
      <c r="H129">
        <v>1</v>
      </c>
      <c r="I129">
        <v>0.15</v>
      </c>
      <c r="J129">
        <v>112</v>
      </c>
      <c r="K129" t="s">
        <v>18</v>
      </c>
      <c r="L129" s="1">
        <v>45089</v>
      </c>
      <c r="M129" s="2" t="str">
        <f>TEXT(working_data_2[[#This Row],[Date]], "mmm-yy")</f>
        <v>Jun-23</v>
      </c>
      <c r="N129" s="4">
        <f>IFERROR(working_data_2[[#This Row],[Profit]]/working_data_2[[#This Row],[Sales Amount]], 0)</f>
        <v>0.11666666666666667</v>
      </c>
    </row>
    <row r="130" spans="1:14" x14ac:dyDescent="0.3">
      <c r="A130" t="s">
        <v>631</v>
      </c>
      <c r="B130" t="s">
        <v>633</v>
      </c>
      <c r="C130" t="s">
        <v>634</v>
      </c>
      <c r="D130" t="s">
        <v>58</v>
      </c>
      <c r="E130" t="s">
        <v>32</v>
      </c>
      <c r="F130" t="s">
        <v>84</v>
      </c>
      <c r="G130">
        <v>362</v>
      </c>
      <c r="H130">
        <v>1</v>
      </c>
      <c r="I130">
        <v>0.1</v>
      </c>
      <c r="J130">
        <v>46</v>
      </c>
      <c r="K130" t="s">
        <v>26</v>
      </c>
      <c r="L130" s="1">
        <v>45092</v>
      </c>
      <c r="M130" s="2" t="str">
        <f>TEXT(working_data_2[[#This Row],[Date]], "mmm-yy")</f>
        <v>Jun-23</v>
      </c>
      <c r="N130" s="4">
        <f>IFERROR(working_data_2[[#This Row],[Profit]]/working_data_2[[#This Row],[Sales Amount]], 0)</f>
        <v>0.1270718232044199</v>
      </c>
    </row>
    <row r="131" spans="1:14" x14ac:dyDescent="0.3">
      <c r="A131" t="s">
        <v>635</v>
      </c>
      <c r="B131" t="s">
        <v>637</v>
      </c>
      <c r="C131" t="s">
        <v>638</v>
      </c>
      <c r="D131" t="s">
        <v>58</v>
      </c>
      <c r="E131" t="s">
        <v>16</v>
      </c>
      <c r="F131" t="s">
        <v>89</v>
      </c>
      <c r="G131">
        <v>262</v>
      </c>
      <c r="H131">
        <v>2</v>
      </c>
      <c r="I131">
        <v>0.05</v>
      </c>
      <c r="J131">
        <v>36</v>
      </c>
      <c r="K131" t="s">
        <v>18</v>
      </c>
      <c r="L131" s="1">
        <v>45093</v>
      </c>
      <c r="M131" s="2" t="str">
        <f>TEXT(working_data_2[[#This Row],[Date]], "mmm-yy")</f>
        <v>Jun-23</v>
      </c>
      <c r="N131" s="4">
        <f>IFERROR(working_data_2[[#This Row],[Profit]]/working_data_2[[#This Row],[Sales Amount]], 0)</f>
        <v>0.13740458015267176</v>
      </c>
    </row>
    <row r="132" spans="1:14" x14ac:dyDescent="0.3">
      <c r="A132" t="s">
        <v>639</v>
      </c>
      <c r="B132" t="s">
        <v>641</v>
      </c>
      <c r="C132" t="s">
        <v>642</v>
      </c>
      <c r="D132" t="s">
        <v>58</v>
      </c>
      <c r="E132" t="s">
        <v>45</v>
      </c>
      <c r="F132" t="s">
        <v>95</v>
      </c>
      <c r="G132">
        <v>162</v>
      </c>
      <c r="H132">
        <v>1</v>
      </c>
      <c r="I132">
        <v>0</v>
      </c>
      <c r="J132">
        <v>31</v>
      </c>
      <c r="K132" t="s">
        <v>26</v>
      </c>
      <c r="L132" s="1">
        <v>45094</v>
      </c>
      <c r="M132" s="2" t="str">
        <f>TEXT(working_data_2[[#This Row],[Date]], "mmm-yy")</f>
        <v>Jun-23</v>
      </c>
      <c r="N132" s="4">
        <f>IFERROR(working_data_2[[#This Row],[Profit]]/working_data_2[[#This Row],[Sales Amount]], 0)</f>
        <v>0.19135802469135801</v>
      </c>
    </row>
    <row r="133" spans="1:14" x14ac:dyDescent="0.3">
      <c r="A133" t="s">
        <v>643</v>
      </c>
      <c r="B133" t="s">
        <v>645</v>
      </c>
      <c r="C133" t="s">
        <v>646</v>
      </c>
      <c r="D133" t="s">
        <v>58</v>
      </c>
      <c r="E133" t="s">
        <v>32</v>
      </c>
      <c r="F133" t="s">
        <v>100</v>
      </c>
      <c r="G133">
        <v>212</v>
      </c>
      <c r="H133">
        <v>1</v>
      </c>
      <c r="I133">
        <v>0.1</v>
      </c>
      <c r="J133">
        <v>26</v>
      </c>
      <c r="K133" t="s">
        <v>18</v>
      </c>
      <c r="L133" s="1">
        <v>45095</v>
      </c>
      <c r="M133" s="2" t="str">
        <f>TEXT(working_data_2[[#This Row],[Date]], "mmm-yy")</f>
        <v>Jun-23</v>
      </c>
      <c r="N133" s="4">
        <f>IFERROR(working_data_2[[#This Row],[Profit]]/working_data_2[[#This Row],[Sales Amount]], 0)</f>
        <v>0.12264150943396226</v>
      </c>
    </row>
    <row r="134" spans="1:14" x14ac:dyDescent="0.3">
      <c r="A134" t="s">
        <v>647</v>
      </c>
      <c r="B134" t="s">
        <v>649</v>
      </c>
      <c r="C134" t="s">
        <v>650</v>
      </c>
      <c r="D134" t="s">
        <v>58</v>
      </c>
      <c r="E134" t="s">
        <v>16</v>
      </c>
      <c r="F134" t="s">
        <v>106</v>
      </c>
      <c r="G134">
        <v>212</v>
      </c>
      <c r="H134">
        <v>1</v>
      </c>
      <c r="I134">
        <v>0</v>
      </c>
      <c r="J134">
        <v>46</v>
      </c>
      <c r="K134" t="s">
        <v>26</v>
      </c>
      <c r="L134" s="1">
        <v>45096</v>
      </c>
      <c r="M134" s="2" t="str">
        <f>TEXT(working_data_2[[#This Row],[Date]], "mmm-yy")</f>
        <v>Jun-23</v>
      </c>
      <c r="N134" s="4">
        <f>IFERROR(working_data_2[[#This Row],[Profit]]/working_data_2[[#This Row],[Sales Amount]], 0)</f>
        <v>0.21698113207547171</v>
      </c>
    </row>
    <row r="135" spans="1:14" x14ac:dyDescent="0.3">
      <c r="A135" t="s">
        <v>651</v>
      </c>
      <c r="B135" t="s">
        <v>653</v>
      </c>
      <c r="C135" t="s">
        <v>654</v>
      </c>
      <c r="D135" t="s">
        <v>58</v>
      </c>
      <c r="E135" t="s">
        <v>45</v>
      </c>
      <c r="F135" t="s">
        <v>112</v>
      </c>
      <c r="G135">
        <v>66</v>
      </c>
      <c r="H135">
        <v>2</v>
      </c>
      <c r="I135">
        <v>0.1</v>
      </c>
      <c r="J135">
        <v>14</v>
      </c>
      <c r="K135" t="s">
        <v>18</v>
      </c>
      <c r="L135" s="1">
        <v>45097</v>
      </c>
      <c r="M135" s="2" t="str">
        <f>TEXT(working_data_2[[#This Row],[Date]], "mmm-yy")</f>
        <v>Jun-23</v>
      </c>
      <c r="N135" s="4">
        <f>IFERROR(working_data_2[[#This Row],[Profit]]/working_data_2[[#This Row],[Sales Amount]], 0)</f>
        <v>0.21212121212121213</v>
      </c>
    </row>
    <row r="136" spans="1:14" x14ac:dyDescent="0.3">
      <c r="A136" t="s">
        <v>655</v>
      </c>
      <c r="B136" t="s">
        <v>657</v>
      </c>
      <c r="C136" t="s">
        <v>2004</v>
      </c>
      <c r="D136" t="s">
        <v>58</v>
      </c>
      <c r="E136" t="s">
        <v>32</v>
      </c>
      <c r="F136" t="s">
        <v>117</v>
      </c>
      <c r="G136">
        <v>1060</v>
      </c>
      <c r="H136">
        <v>1</v>
      </c>
      <c r="I136">
        <v>0.2</v>
      </c>
      <c r="J136">
        <v>162</v>
      </c>
      <c r="K136" t="s">
        <v>26</v>
      </c>
      <c r="L136" s="1">
        <v>45098</v>
      </c>
      <c r="M136" s="2" t="str">
        <f>TEXT(working_data_2[[#This Row],[Date]], "mmm-yy")</f>
        <v>Jun-23</v>
      </c>
      <c r="N136" s="4">
        <f>IFERROR(working_data_2[[#This Row],[Profit]]/working_data_2[[#This Row],[Sales Amount]], 0)</f>
        <v>0.15283018867924528</v>
      </c>
    </row>
    <row r="137" spans="1:14" x14ac:dyDescent="0.3">
      <c r="A137" t="s">
        <v>658</v>
      </c>
      <c r="B137" t="s">
        <v>660</v>
      </c>
      <c r="C137" t="s">
        <v>661</v>
      </c>
      <c r="D137" t="s">
        <v>58</v>
      </c>
      <c r="E137" t="s">
        <v>16</v>
      </c>
      <c r="F137" t="s">
        <v>123</v>
      </c>
      <c r="G137">
        <v>660</v>
      </c>
      <c r="H137">
        <v>1</v>
      </c>
      <c r="I137">
        <v>0</v>
      </c>
      <c r="J137">
        <v>92</v>
      </c>
      <c r="K137" t="s">
        <v>18</v>
      </c>
      <c r="L137" s="1">
        <v>45099</v>
      </c>
      <c r="M137" s="2" t="str">
        <f>TEXT(working_data_2[[#This Row],[Date]], "mmm-yy")</f>
        <v>Jun-23</v>
      </c>
      <c r="N137" s="4">
        <f>IFERROR(working_data_2[[#This Row],[Profit]]/working_data_2[[#This Row],[Sales Amount]], 0)</f>
        <v>0.1393939393939394</v>
      </c>
    </row>
    <row r="138" spans="1:14" x14ac:dyDescent="0.3">
      <c r="A138" t="s">
        <v>662</v>
      </c>
      <c r="B138" t="s">
        <v>664</v>
      </c>
      <c r="C138" t="s">
        <v>665</v>
      </c>
      <c r="D138" t="s">
        <v>58</v>
      </c>
      <c r="E138" t="s">
        <v>45</v>
      </c>
      <c r="F138" t="s">
        <v>129</v>
      </c>
      <c r="G138">
        <v>36</v>
      </c>
      <c r="H138">
        <v>3</v>
      </c>
      <c r="I138">
        <v>0</v>
      </c>
      <c r="J138">
        <v>8</v>
      </c>
      <c r="K138" t="s">
        <v>26</v>
      </c>
      <c r="L138" s="1">
        <v>45100</v>
      </c>
      <c r="M138" s="2" t="str">
        <f>TEXT(working_data_2[[#This Row],[Date]], "mmm-yy")</f>
        <v>Jun-23</v>
      </c>
      <c r="N138" s="4">
        <f>IFERROR(working_data_2[[#This Row],[Profit]]/working_data_2[[#This Row],[Sales Amount]], 0)</f>
        <v>0.22222222222222221</v>
      </c>
    </row>
    <row r="139" spans="1:14" x14ac:dyDescent="0.3">
      <c r="A139" t="s">
        <v>670</v>
      </c>
      <c r="B139" t="s">
        <v>672</v>
      </c>
      <c r="C139" t="s">
        <v>673</v>
      </c>
      <c r="D139" t="s">
        <v>58</v>
      </c>
      <c r="E139" t="s">
        <v>16</v>
      </c>
      <c r="F139" t="s">
        <v>141</v>
      </c>
      <c r="G139">
        <v>86</v>
      </c>
      <c r="H139">
        <v>2</v>
      </c>
      <c r="I139">
        <v>0.1</v>
      </c>
      <c r="J139">
        <v>19</v>
      </c>
      <c r="K139" t="s">
        <v>26</v>
      </c>
      <c r="L139" s="1">
        <v>45102</v>
      </c>
      <c r="M139" s="2" t="str">
        <f>TEXT(working_data_2[[#This Row],[Date]], "mmm-yy")</f>
        <v>Jun-23</v>
      </c>
      <c r="N139" s="4">
        <f>IFERROR(working_data_2[[#This Row],[Profit]]/working_data_2[[#This Row],[Sales Amount]], 0)</f>
        <v>0.22093023255813954</v>
      </c>
    </row>
    <row r="140" spans="1:14" x14ac:dyDescent="0.3">
      <c r="A140" t="s">
        <v>674</v>
      </c>
      <c r="B140" t="s">
        <v>676</v>
      </c>
      <c r="C140" t="s">
        <v>677</v>
      </c>
      <c r="D140" t="s">
        <v>58</v>
      </c>
      <c r="E140" t="s">
        <v>45</v>
      </c>
      <c r="F140" t="s">
        <v>146</v>
      </c>
      <c r="G140">
        <v>19</v>
      </c>
      <c r="H140">
        <v>5</v>
      </c>
      <c r="I140">
        <v>0</v>
      </c>
      <c r="J140">
        <v>8</v>
      </c>
      <c r="K140" t="s">
        <v>18</v>
      </c>
      <c r="L140" s="1">
        <v>45103</v>
      </c>
      <c r="M140" s="2" t="str">
        <f>TEXT(working_data_2[[#This Row],[Date]], "mmm-yy")</f>
        <v>Jun-23</v>
      </c>
      <c r="N140" s="4">
        <f>IFERROR(working_data_2[[#This Row],[Profit]]/working_data_2[[#This Row],[Sales Amount]], 0)</f>
        <v>0.42105263157894735</v>
      </c>
    </row>
    <row r="141" spans="1:14" x14ac:dyDescent="0.3">
      <c r="A141" t="s">
        <v>678</v>
      </c>
      <c r="B141" t="s">
        <v>680</v>
      </c>
      <c r="C141" t="s">
        <v>681</v>
      </c>
      <c r="D141" t="s">
        <v>58</v>
      </c>
      <c r="E141" t="s">
        <v>32</v>
      </c>
      <c r="F141" t="s">
        <v>152</v>
      </c>
      <c r="G141">
        <v>46</v>
      </c>
      <c r="H141">
        <v>4</v>
      </c>
      <c r="I141">
        <v>0</v>
      </c>
      <c r="J141">
        <v>14</v>
      </c>
      <c r="K141" t="s">
        <v>26</v>
      </c>
      <c r="L141" s="1">
        <v>45104</v>
      </c>
      <c r="M141" s="2" t="str">
        <f>TEXT(working_data_2[[#This Row],[Date]], "mmm-yy")</f>
        <v>Jun-23</v>
      </c>
      <c r="N141" s="4">
        <f>IFERROR(working_data_2[[#This Row],[Profit]]/working_data_2[[#This Row],[Sales Amount]], 0)</f>
        <v>0.30434782608695654</v>
      </c>
    </row>
    <row r="142" spans="1:14" x14ac:dyDescent="0.3">
      <c r="A142" t="s">
        <v>682</v>
      </c>
      <c r="B142" t="s">
        <v>585</v>
      </c>
      <c r="C142" t="s">
        <v>684</v>
      </c>
      <c r="D142" t="s">
        <v>58</v>
      </c>
      <c r="E142" t="s">
        <v>16</v>
      </c>
      <c r="F142" t="s">
        <v>158</v>
      </c>
      <c r="G142">
        <v>56</v>
      </c>
      <c r="H142">
        <v>2</v>
      </c>
      <c r="I142">
        <v>0</v>
      </c>
      <c r="J142">
        <v>14</v>
      </c>
      <c r="K142" t="s">
        <v>18</v>
      </c>
      <c r="L142" s="1">
        <v>45105</v>
      </c>
      <c r="M142" s="2" t="str">
        <f>TEXT(working_data_2[[#This Row],[Date]], "mmm-yy")</f>
        <v>Jun-23</v>
      </c>
      <c r="N142" s="4">
        <f>IFERROR(working_data_2[[#This Row],[Profit]]/working_data_2[[#This Row],[Sales Amount]], 0)</f>
        <v>0.25</v>
      </c>
    </row>
    <row r="143" spans="1:14" x14ac:dyDescent="0.3">
      <c r="A143" t="s">
        <v>685</v>
      </c>
      <c r="B143" t="s">
        <v>687</v>
      </c>
      <c r="C143" t="s">
        <v>2004</v>
      </c>
      <c r="D143" t="s">
        <v>58</v>
      </c>
      <c r="E143" t="s">
        <v>45</v>
      </c>
      <c r="F143" t="s">
        <v>163</v>
      </c>
      <c r="G143">
        <v>26</v>
      </c>
      <c r="H143">
        <v>1</v>
      </c>
      <c r="I143">
        <v>0</v>
      </c>
      <c r="J143">
        <v>8</v>
      </c>
      <c r="K143" t="s">
        <v>26</v>
      </c>
      <c r="L143" s="1">
        <v>45106</v>
      </c>
      <c r="M143" s="2" t="str">
        <f>TEXT(working_data_2[[#This Row],[Date]], "mmm-yy")</f>
        <v>Jun-23</v>
      </c>
      <c r="N143" s="4">
        <f>IFERROR(working_data_2[[#This Row],[Profit]]/working_data_2[[#This Row],[Sales Amount]], 0)</f>
        <v>0.30769230769230771</v>
      </c>
    </row>
    <row r="144" spans="1:14" x14ac:dyDescent="0.3">
      <c r="A144" t="s">
        <v>688</v>
      </c>
      <c r="B144" t="s">
        <v>690</v>
      </c>
      <c r="C144" t="s">
        <v>691</v>
      </c>
      <c r="D144" t="s">
        <v>58</v>
      </c>
      <c r="E144" t="s">
        <v>32</v>
      </c>
      <c r="F144" t="s">
        <v>168</v>
      </c>
      <c r="G144">
        <v>66</v>
      </c>
      <c r="H144">
        <v>2</v>
      </c>
      <c r="I144">
        <v>0.1</v>
      </c>
      <c r="J144">
        <v>14</v>
      </c>
      <c r="K144" t="s">
        <v>18</v>
      </c>
      <c r="L144" s="1">
        <v>45107</v>
      </c>
      <c r="M144" s="2" t="str">
        <f>TEXT(working_data_2[[#This Row],[Date]], "mmm-yy")</f>
        <v>Jun-23</v>
      </c>
      <c r="N144" s="4">
        <f>IFERROR(working_data_2[[#This Row],[Profit]]/working_data_2[[#This Row],[Sales Amount]], 0)</f>
        <v>0.21212121212121213</v>
      </c>
    </row>
    <row r="145" spans="1:14" x14ac:dyDescent="0.3">
      <c r="A145" t="s">
        <v>692</v>
      </c>
      <c r="B145" t="s">
        <v>694</v>
      </c>
      <c r="C145" t="s">
        <v>695</v>
      </c>
      <c r="D145" t="s">
        <v>58</v>
      </c>
      <c r="E145" t="s">
        <v>16</v>
      </c>
      <c r="F145" t="s">
        <v>174</v>
      </c>
      <c r="G145">
        <v>31</v>
      </c>
      <c r="H145">
        <v>3</v>
      </c>
      <c r="I145">
        <v>0</v>
      </c>
      <c r="J145">
        <v>8</v>
      </c>
      <c r="K145" t="s">
        <v>26</v>
      </c>
      <c r="L145" s="1">
        <v>44933</v>
      </c>
      <c r="M145" s="2" t="str">
        <f>TEXT(working_data_2[[#This Row],[Date]], "mmm-yy")</f>
        <v>Jan-23</v>
      </c>
      <c r="N145" s="4">
        <f>IFERROR(working_data_2[[#This Row],[Profit]]/working_data_2[[#This Row],[Sales Amount]], 0)</f>
        <v>0.25806451612903225</v>
      </c>
    </row>
    <row r="146" spans="1:14" x14ac:dyDescent="0.3">
      <c r="A146" t="s">
        <v>696</v>
      </c>
      <c r="B146" t="s">
        <v>1951</v>
      </c>
      <c r="C146" t="s">
        <v>50</v>
      </c>
      <c r="D146" t="s">
        <v>51</v>
      </c>
      <c r="E146" t="s">
        <v>16</v>
      </c>
      <c r="F146" t="s">
        <v>17</v>
      </c>
      <c r="G146">
        <v>1220</v>
      </c>
      <c r="H146">
        <v>1</v>
      </c>
      <c r="I146">
        <v>0.1</v>
      </c>
      <c r="J146">
        <v>155</v>
      </c>
      <c r="K146" t="s">
        <v>18</v>
      </c>
      <c r="L146" s="1">
        <v>44964</v>
      </c>
      <c r="M146" s="2" t="str">
        <f>TEXT(working_data_2[[#This Row],[Date]], "mmm-yy")</f>
        <v>Feb-23</v>
      </c>
      <c r="N146" s="4">
        <f>IFERROR(working_data_2[[#This Row],[Profit]]/working_data_2[[#This Row],[Sales Amount]], 0)</f>
        <v>0.12704918032786885</v>
      </c>
    </row>
    <row r="147" spans="1:14" x14ac:dyDescent="0.3">
      <c r="A147" t="s">
        <v>699</v>
      </c>
      <c r="B147" t="s">
        <v>1952</v>
      </c>
      <c r="C147" t="s">
        <v>702</v>
      </c>
      <c r="D147" t="s">
        <v>51</v>
      </c>
      <c r="E147" t="s">
        <v>45</v>
      </c>
      <c r="F147" t="s">
        <v>25</v>
      </c>
      <c r="G147">
        <v>28</v>
      </c>
      <c r="H147">
        <v>2</v>
      </c>
      <c r="I147">
        <v>0</v>
      </c>
      <c r="J147">
        <v>13</v>
      </c>
      <c r="K147" t="s">
        <v>26</v>
      </c>
      <c r="L147" s="1">
        <v>45110</v>
      </c>
      <c r="M147" s="2" t="str">
        <f>TEXT(working_data_2[[#This Row],[Date]], "mmm-yy")</f>
        <v>Jul-23</v>
      </c>
      <c r="N147" s="4">
        <f>IFERROR(working_data_2[[#This Row],[Profit]]/working_data_2[[#This Row],[Sales Amount]], 0)</f>
        <v>0.4642857142857143</v>
      </c>
    </row>
    <row r="148" spans="1:14" x14ac:dyDescent="0.3">
      <c r="A148" t="s">
        <v>706</v>
      </c>
      <c r="B148" t="s">
        <v>1953</v>
      </c>
      <c r="C148" t="s">
        <v>709</v>
      </c>
      <c r="D148" t="s">
        <v>51</v>
      </c>
      <c r="E148" t="s">
        <v>16</v>
      </c>
      <c r="F148" t="s">
        <v>39</v>
      </c>
      <c r="G148">
        <v>860</v>
      </c>
      <c r="H148">
        <v>1</v>
      </c>
      <c r="I148">
        <v>0.05</v>
      </c>
      <c r="J148">
        <v>115</v>
      </c>
      <c r="K148" t="s">
        <v>18</v>
      </c>
      <c r="L148" s="1">
        <v>45053</v>
      </c>
      <c r="M148" s="2" t="str">
        <f>TEXT(working_data_2[[#This Row],[Date]], "mmm-yy")</f>
        <v>May-23</v>
      </c>
      <c r="N148" s="4">
        <f>IFERROR(working_data_2[[#This Row],[Profit]]/working_data_2[[#This Row],[Sales Amount]], 0)</f>
        <v>0.13372093023255813</v>
      </c>
    </row>
    <row r="149" spans="1:14" x14ac:dyDescent="0.3">
      <c r="A149" t="s">
        <v>710</v>
      </c>
      <c r="B149" t="s">
        <v>712</v>
      </c>
      <c r="C149" t="s">
        <v>713</v>
      </c>
      <c r="D149" t="s">
        <v>51</v>
      </c>
      <c r="E149" t="s">
        <v>45</v>
      </c>
      <c r="F149" t="s">
        <v>46</v>
      </c>
      <c r="G149">
        <v>58</v>
      </c>
      <c r="H149">
        <v>3</v>
      </c>
      <c r="I149">
        <v>0</v>
      </c>
      <c r="J149">
        <v>21</v>
      </c>
      <c r="K149" t="s">
        <v>26</v>
      </c>
      <c r="L149" s="1">
        <v>45084</v>
      </c>
      <c r="M149" s="2" t="str">
        <f>TEXT(working_data_2[[#This Row],[Date]], "mmm-yy")</f>
        <v>Jun-23</v>
      </c>
      <c r="N149" s="4">
        <f>IFERROR(working_data_2[[#This Row],[Profit]]/working_data_2[[#This Row],[Sales Amount]], 0)</f>
        <v>0.36206896551724138</v>
      </c>
    </row>
    <row r="150" spans="1:14" x14ac:dyDescent="0.3">
      <c r="A150" t="s">
        <v>714</v>
      </c>
      <c r="B150" t="s">
        <v>716</v>
      </c>
      <c r="C150" t="s">
        <v>385</v>
      </c>
      <c r="D150" t="s">
        <v>51</v>
      </c>
      <c r="E150" t="s">
        <v>32</v>
      </c>
      <c r="F150" t="s">
        <v>53</v>
      </c>
      <c r="G150">
        <v>165</v>
      </c>
      <c r="H150">
        <v>4</v>
      </c>
      <c r="I150">
        <v>0.1</v>
      </c>
      <c r="J150">
        <v>25</v>
      </c>
      <c r="K150" t="s">
        <v>26</v>
      </c>
      <c r="L150" s="1">
        <v>45114</v>
      </c>
      <c r="M150" s="2" t="str">
        <f>TEXT(working_data_2[[#This Row],[Date]], "mmm-yy")</f>
        <v>Jul-23</v>
      </c>
      <c r="N150" s="4">
        <f>IFERROR(working_data_2[[#This Row],[Profit]]/working_data_2[[#This Row],[Sales Amount]], 0)</f>
        <v>0.15151515151515152</v>
      </c>
    </row>
    <row r="151" spans="1:14" x14ac:dyDescent="0.3">
      <c r="A151" t="s">
        <v>717</v>
      </c>
      <c r="B151" t="s">
        <v>719</v>
      </c>
      <c r="C151" t="s">
        <v>720</v>
      </c>
      <c r="D151" t="s">
        <v>51</v>
      </c>
      <c r="E151" t="s">
        <v>16</v>
      </c>
      <c r="F151" t="s">
        <v>59</v>
      </c>
      <c r="G151">
        <v>315</v>
      </c>
      <c r="H151">
        <v>2</v>
      </c>
      <c r="I151">
        <v>0</v>
      </c>
      <c r="J151">
        <v>48</v>
      </c>
      <c r="K151" t="s">
        <v>18</v>
      </c>
      <c r="L151" s="1">
        <v>45145</v>
      </c>
      <c r="M151" s="2" t="str">
        <f>TEXT(working_data_2[[#This Row],[Date]], "mmm-yy")</f>
        <v>Aug-23</v>
      </c>
      <c r="N151" s="4">
        <f>IFERROR(working_data_2[[#This Row],[Profit]]/working_data_2[[#This Row],[Sales Amount]], 0)</f>
        <v>0.15238095238095239</v>
      </c>
    </row>
    <row r="152" spans="1:14" x14ac:dyDescent="0.3">
      <c r="A152" t="s">
        <v>721</v>
      </c>
      <c r="B152" t="s">
        <v>723</v>
      </c>
      <c r="C152" t="s">
        <v>2004</v>
      </c>
      <c r="D152" t="s">
        <v>51</v>
      </c>
      <c r="E152" t="s">
        <v>45</v>
      </c>
      <c r="F152" t="s">
        <v>63</v>
      </c>
      <c r="G152">
        <v>85</v>
      </c>
      <c r="H152">
        <v>1</v>
      </c>
      <c r="I152">
        <v>0.2</v>
      </c>
      <c r="J152">
        <v>21</v>
      </c>
      <c r="K152" t="s">
        <v>26</v>
      </c>
      <c r="L152" s="1">
        <v>45176</v>
      </c>
      <c r="M152" s="2" t="str">
        <f>TEXT(working_data_2[[#This Row],[Date]], "mmm-yy")</f>
        <v>Sep-23</v>
      </c>
      <c r="N152" s="4">
        <f>IFERROR(working_data_2[[#This Row],[Profit]]/working_data_2[[#This Row],[Sales Amount]], 0)</f>
        <v>0.24705882352941178</v>
      </c>
    </row>
    <row r="153" spans="1:14" x14ac:dyDescent="0.3">
      <c r="A153" t="s">
        <v>724</v>
      </c>
      <c r="B153" t="s">
        <v>726</v>
      </c>
      <c r="C153" t="s">
        <v>727</v>
      </c>
      <c r="D153" t="s">
        <v>51</v>
      </c>
      <c r="E153" t="s">
        <v>32</v>
      </c>
      <c r="F153" t="s">
        <v>68</v>
      </c>
      <c r="G153">
        <v>980</v>
      </c>
      <c r="H153">
        <v>1</v>
      </c>
      <c r="I153">
        <v>0.15</v>
      </c>
      <c r="J153">
        <v>115</v>
      </c>
      <c r="K153" t="s">
        <v>18</v>
      </c>
      <c r="L153" s="1">
        <v>45117</v>
      </c>
      <c r="M153" s="2" t="str">
        <f>TEXT(working_data_2[[#This Row],[Date]], "mmm-yy")</f>
        <v>Jul-23</v>
      </c>
      <c r="N153" s="4">
        <f>IFERROR(working_data_2[[#This Row],[Profit]]/working_data_2[[#This Row],[Sales Amount]], 0)</f>
        <v>0.11734693877551021</v>
      </c>
    </row>
    <row r="154" spans="1:14" x14ac:dyDescent="0.3">
      <c r="A154" t="s">
        <v>735</v>
      </c>
      <c r="B154" t="s">
        <v>737</v>
      </c>
      <c r="C154" t="s">
        <v>738</v>
      </c>
      <c r="D154" t="s">
        <v>51</v>
      </c>
      <c r="E154" t="s">
        <v>32</v>
      </c>
      <c r="F154" t="s">
        <v>84</v>
      </c>
      <c r="G154">
        <v>365</v>
      </c>
      <c r="H154">
        <v>1</v>
      </c>
      <c r="I154">
        <v>0.1</v>
      </c>
      <c r="J154">
        <v>48</v>
      </c>
      <c r="K154" t="s">
        <v>26</v>
      </c>
      <c r="L154" s="1">
        <v>45120</v>
      </c>
      <c r="M154" s="2" t="str">
        <f>TEXT(working_data_2[[#This Row],[Date]], "mmm-yy")</f>
        <v>Jul-23</v>
      </c>
      <c r="N154" s="4">
        <f>IFERROR(working_data_2[[#This Row],[Profit]]/working_data_2[[#This Row],[Sales Amount]], 0)</f>
        <v>0.13150684931506848</v>
      </c>
    </row>
    <row r="155" spans="1:14" x14ac:dyDescent="0.3">
      <c r="A155" t="s">
        <v>739</v>
      </c>
      <c r="B155" t="s">
        <v>741</v>
      </c>
      <c r="C155" t="s">
        <v>742</v>
      </c>
      <c r="D155" t="s">
        <v>51</v>
      </c>
      <c r="E155" t="s">
        <v>16</v>
      </c>
      <c r="F155" t="s">
        <v>89</v>
      </c>
      <c r="G155">
        <v>265</v>
      </c>
      <c r="H155">
        <v>2</v>
      </c>
      <c r="I155">
        <v>0.05</v>
      </c>
      <c r="J155">
        <v>38</v>
      </c>
      <c r="K155" t="s">
        <v>18</v>
      </c>
      <c r="L155" s="1">
        <v>45121</v>
      </c>
      <c r="M155" s="2" t="str">
        <f>TEXT(working_data_2[[#This Row],[Date]], "mmm-yy")</f>
        <v>Jul-23</v>
      </c>
      <c r="N155" s="4">
        <f>IFERROR(working_data_2[[#This Row],[Profit]]/working_data_2[[#This Row],[Sales Amount]], 0)</f>
        <v>0.14339622641509434</v>
      </c>
    </row>
    <row r="156" spans="1:14" x14ac:dyDescent="0.3">
      <c r="A156" t="s">
        <v>743</v>
      </c>
      <c r="B156" t="s">
        <v>745</v>
      </c>
      <c r="C156" t="s">
        <v>746</v>
      </c>
      <c r="D156" t="s">
        <v>51</v>
      </c>
      <c r="E156" t="s">
        <v>45</v>
      </c>
      <c r="F156" t="s">
        <v>95</v>
      </c>
      <c r="G156">
        <v>165</v>
      </c>
      <c r="H156">
        <v>1</v>
      </c>
      <c r="I156">
        <v>0</v>
      </c>
      <c r="J156">
        <v>33</v>
      </c>
      <c r="K156" t="s">
        <v>26</v>
      </c>
      <c r="L156" s="1">
        <v>45122</v>
      </c>
      <c r="M156" s="2" t="str">
        <f>TEXT(working_data_2[[#This Row],[Date]], "mmm-yy")</f>
        <v>Jul-23</v>
      </c>
      <c r="N156" s="4">
        <f>IFERROR(working_data_2[[#This Row],[Profit]]/working_data_2[[#This Row],[Sales Amount]], 0)</f>
        <v>0.2</v>
      </c>
    </row>
    <row r="157" spans="1:14" x14ac:dyDescent="0.3">
      <c r="A157" t="s">
        <v>747</v>
      </c>
      <c r="B157" t="s">
        <v>749</v>
      </c>
      <c r="C157" t="s">
        <v>750</v>
      </c>
      <c r="D157" t="s">
        <v>51</v>
      </c>
      <c r="E157" t="s">
        <v>32</v>
      </c>
      <c r="F157" t="s">
        <v>100</v>
      </c>
      <c r="G157">
        <v>215</v>
      </c>
      <c r="H157">
        <v>1</v>
      </c>
      <c r="I157">
        <v>0.1</v>
      </c>
      <c r="J157">
        <v>28</v>
      </c>
      <c r="K157" t="s">
        <v>18</v>
      </c>
      <c r="L157" s="1">
        <v>45123</v>
      </c>
      <c r="M157" s="2" t="str">
        <f>TEXT(working_data_2[[#This Row],[Date]], "mmm-yy")</f>
        <v>Jul-23</v>
      </c>
      <c r="N157" s="4">
        <f>IFERROR(working_data_2[[#This Row],[Profit]]/working_data_2[[#This Row],[Sales Amount]], 0)</f>
        <v>0.13023255813953488</v>
      </c>
    </row>
    <row r="158" spans="1:14" x14ac:dyDescent="0.3">
      <c r="A158" t="s">
        <v>751</v>
      </c>
      <c r="B158" t="s">
        <v>753</v>
      </c>
      <c r="C158" t="s">
        <v>754</v>
      </c>
      <c r="D158" t="s">
        <v>51</v>
      </c>
      <c r="E158" t="s">
        <v>16</v>
      </c>
      <c r="F158" t="s">
        <v>106</v>
      </c>
      <c r="G158">
        <v>215</v>
      </c>
      <c r="H158">
        <v>1</v>
      </c>
      <c r="I158">
        <v>0</v>
      </c>
      <c r="J158">
        <v>48</v>
      </c>
      <c r="K158" t="s">
        <v>26</v>
      </c>
      <c r="L158" s="1">
        <v>45124</v>
      </c>
      <c r="M158" s="2" t="str">
        <f>TEXT(working_data_2[[#This Row],[Date]], "mmm-yy")</f>
        <v>Jul-23</v>
      </c>
      <c r="N158" s="4">
        <f>IFERROR(working_data_2[[#This Row],[Profit]]/working_data_2[[#This Row],[Sales Amount]], 0)</f>
        <v>0.22325581395348837</v>
      </c>
    </row>
    <row r="159" spans="1:14" x14ac:dyDescent="0.3">
      <c r="A159" t="s">
        <v>755</v>
      </c>
      <c r="B159" t="s">
        <v>757</v>
      </c>
      <c r="C159" t="s">
        <v>758</v>
      </c>
      <c r="D159" t="s">
        <v>51</v>
      </c>
      <c r="E159" t="s">
        <v>45</v>
      </c>
      <c r="F159" t="s">
        <v>112</v>
      </c>
      <c r="G159">
        <v>68</v>
      </c>
      <c r="H159">
        <v>2</v>
      </c>
      <c r="I159">
        <v>0.1</v>
      </c>
      <c r="J159">
        <v>15</v>
      </c>
      <c r="K159" t="s">
        <v>18</v>
      </c>
      <c r="L159" s="1">
        <v>45125</v>
      </c>
      <c r="M159" s="2" t="str">
        <f>TEXT(working_data_2[[#This Row],[Date]], "mmm-yy")</f>
        <v>Jul-23</v>
      </c>
      <c r="N159" s="4">
        <f>IFERROR(working_data_2[[#This Row],[Profit]]/working_data_2[[#This Row],[Sales Amount]], 0)</f>
        <v>0.22058823529411764</v>
      </c>
    </row>
    <row r="160" spans="1:14" x14ac:dyDescent="0.3">
      <c r="A160" t="s">
        <v>759</v>
      </c>
      <c r="B160" t="s">
        <v>761</v>
      </c>
      <c r="C160" t="s">
        <v>2004</v>
      </c>
      <c r="D160" t="s">
        <v>51</v>
      </c>
      <c r="E160" t="s">
        <v>32</v>
      </c>
      <c r="F160" t="s">
        <v>117</v>
      </c>
      <c r="G160">
        <v>1080</v>
      </c>
      <c r="H160">
        <v>1</v>
      </c>
      <c r="I160">
        <v>0.2</v>
      </c>
      <c r="J160">
        <v>165</v>
      </c>
      <c r="K160" t="s">
        <v>26</v>
      </c>
      <c r="L160" s="1">
        <v>45126</v>
      </c>
      <c r="M160" s="2" t="str">
        <f>TEXT(working_data_2[[#This Row],[Date]], "mmm-yy")</f>
        <v>Jul-23</v>
      </c>
      <c r="N160" s="4">
        <f>IFERROR(working_data_2[[#This Row],[Profit]]/working_data_2[[#This Row],[Sales Amount]], 0)</f>
        <v>0.15277777777777779</v>
      </c>
    </row>
    <row r="161" spans="1:14" x14ac:dyDescent="0.3">
      <c r="A161" t="s">
        <v>762</v>
      </c>
      <c r="B161" t="s">
        <v>764</v>
      </c>
      <c r="C161" t="s">
        <v>765</v>
      </c>
      <c r="D161" t="s">
        <v>51</v>
      </c>
      <c r="E161" t="s">
        <v>16</v>
      </c>
      <c r="F161" t="s">
        <v>123</v>
      </c>
      <c r="G161">
        <v>680</v>
      </c>
      <c r="H161">
        <v>1</v>
      </c>
      <c r="I161">
        <v>0</v>
      </c>
      <c r="J161">
        <v>95</v>
      </c>
      <c r="K161" t="s">
        <v>18</v>
      </c>
      <c r="L161" s="1">
        <v>45127</v>
      </c>
      <c r="M161" s="2" t="str">
        <f>TEXT(working_data_2[[#This Row],[Date]], "mmm-yy")</f>
        <v>Jul-23</v>
      </c>
      <c r="N161" s="4">
        <f>IFERROR(working_data_2[[#This Row],[Profit]]/working_data_2[[#This Row],[Sales Amount]], 0)</f>
        <v>0.13970588235294118</v>
      </c>
    </row>
    <row r="162" spans="1:14" x14ac:dyDescent="0.3">
      <c r="A162" t="s">
        <v>766</v>
      </c>
      <c r="B162" t="s">
        <v>768</v>
      </c>
      <c r="C162" t="s">
        <v>769</v>
      </c>
      <c r="D162" t="s">
        <v>51</v>
      </c>
      <c r="E162" t="s">
        <v>45</v>
      </c>
      <c r="F162" t="s">
        <v>129</v>
      </c>
      <c r="G162">
        <v>38</v>
      </c>
      <c r="H162">
        <v>3</v>
      </c>
      <c r="I162">
        <v>0</v>
      </c>
      <c r="J162">
        <v>9</v>
      </c>
      <c r="K162" t="s">
        <v>26</v>
      </c>
      <c r="L162" s="1">
        <v>45128</v>
      </c>
      <c r="M162" s="2" t="str">
        <f>TEXT(working_data_2[[#This Row],[Date]], "mmm-yy")</f>
        <v>Jul-23</v>
      </c>
      <c r="N162" s="4">
        <f>IFERROR(working_data_2[[#This Row],[Profit]]/working_data_2[[#This Row],[Sales Amount]], 0)</f>
        <v>0.23684210526315788</v>
      </c>
    </row>
    <row r="163" spans="1:14" x14ac:dyDescent="0.3">
      <c r="A163" t="s">
        <v>774</v>
      </c>
      <c r="B163" t="s">
        <v>776</v>
      </c>
      <c r="C163" t="s">
        <v>777</v>
      </c>
      <c r="D163" t="s">
        <v>51</v>
      </c>
      <c r="E163" t="s">
        <v>16</v>
      </c>
      <c r="F163" t="s">
        <v>141</v>
      </c>
      <c r="G163">
        <v>88</v>
      </c>
      <c r="H163">
        <v>2</v>
      </c>
      <c r="I163">
        <v>0.1</v>
      </c>
      <c r="J163">
        <v>21</v>
      </c>
      <c r="K163" t="s">
        <v>26</v>
      </c>
      <c r="L163" s="1">
        <v>45130</v>
      </c>
      <c r="M163" s="2" t="str">
        <f>TEXT(working_data_2[[#This Row],[Date]], "mmm-yy")</f>
        <v>Jul-23</v>
      </c>
      <c r="N163" s="4">
        <f>IFERROR(working_data_2[[#This Row],[Profit]]/working_data_2[[#This Row],[Sales Amount]], 0)</f>
        <v>0.23863636363636365</v>
      </c>
    </row>
    <row r="164" spans="1:14" x14ac:dyDescent="0.3">
      <c r="A164" t="s">
        <v>778</v>
      </c>
      <c r="B164" t="s">
        <v>780</v>
      </c>
      <c r="C164" t="s">
        <v>781</v>
      </c>
      <c r="D164" t="s">
        <v>51</v>
      </c>
      <c r="E164" t="s">
        <v>45</v>
      </c>
      <c r="F164" t="s">
        <v>146</v>
      </c>
      <c r="G164">
        <v>21</v>
      </c>
      <c r="H164">
        <v>5</v>
      </c>
      <c r="I164">
        <v>0</v>
      </c>
      <c r="J164">
        <v>9</v>
      </c>
      <c r="K164" t="s">
        <v>18</v>
      </c>
      <c r="L164" s="1">
        <v>45131</v>
      </c>
      <c r="M164" s="2" t="str">
        <f>TEXT(working_data_2[[#This Row],[Date]], "mmm-yy")</f>
        <v>Jul-23</v>
      </c>
      <c r="N164" s="4">
        <f>IFERROR(working_data_2[[#This Row],[Profit]]/working_data_2[[#This Row],[Sales Amount]], 0)</f>
        <v>0.42857142857142855</v>
      </c>
    </row>
    <row r="165" spans="1:14" x14ac:dyDescent="0.3">
      <c r="A165" t="s">
        <v>782</v>
      </c>
      <c r="B165" t="s">
        <v>784</v>
      </c>
      <c r="C165" t="s">
        <v>785</v>
      </c>
      <c r="D165" t="s">
        <v>51</v>
      </c>
      <c r="E165" t="s">
        <v>32</v>
      </c>
      <c r="F165" t="s">
        <v>152</v>
      </c>
      <c r="G165">
        <v>48</v>
      </c>
      <c r="H165">
        <v>4</v>
      </c>
      <c r="I165">
        <v>0</v>
      </c>
      <c r="J165">
        <v>15</v>
      </c>
      <c r="K165" t="s">
        <v>26</v>
      </c>
      <c r="L165" s="1">
        <v>45132</v>
      </c>
      <c r="M165" s="2" t="str">
        <f>TEXT(working_data_2[[#This Row],[Date]], "mmm-yy")</f>
        <v>Jul-23</v>
      </c>
      <c r="N165" s="4">
        <f>IFERROR(working_data_2[[#This Row],[Profit]]/working_data_2[[#This Row],[Sales Amount]], 0)</f>
        <v>0.3125</v>
      </c>
    </row>
    <row r="166" spans="1:14" x14ac:dyDescent="0.3">
      <c r="A166" t="s">
        <v>786</v>
      </c>
      <c r="B166" t="s">
        <v>788</v>
      </c>
      <c r="C166" t="s">
        <v>789</v>
      </c>
      <c r="D166" t="s">
        <v>51</v>
      </c>
      <c r="E166" t="s">
        <v>16</v>
      </c>
      <c r="F166" t="s">
        <v>158</v>
      </c>
      <c r="G166">
        <v>58</v>
      </c>
      <c r="H166">
        <v>2</v>
      </c>
      <c r="I166">
        <v>0</v>
      </c>
      <c r="J166">
        <v>15</v>
      </c>
      <c r="K166" t="s">
        <v>18</v>
      </c>
      <c r="L166" s="1">
        <v>45133</v>
      </c>
      <c r="M166" s="2" t="str">
        <f>TEXT(working_data_2[[#This Row],[Date]], "mmm-yy")</f>
        <v>Jul-23</v>
      </c>
      <c r="N166" s="4">
        <f>IFERROR(working_data_2[[#This Row],[Profit]]/working_data_2[[#This Row],[Sales Amount]], 0)</f>
        <v>0.25862068965517243</v>
      </c>
    </row>
    <row r="167" spans="1:14" x14ac:dyDescent="0.3">
      <c r="A167" t="s">
        <v>790</v>
      </c>
      <c r="B167" t="s">
        <v>792</v>
      </c>
      <c r="C167" t="s">
        <v>2004</v>
      </c>
      <c r="D167" t="s">
        <v>51</v>
      </c>
      <c r="E167" t="s">
        <v>45</v>
      </c>
      <c r="F167" t="s">
        <v>163</v>
      </c>
      <c r="G167">
        <v>28</v>
      </c>
      <c r="H167">
        <v>1</v>
      </c>
      <c r="I167">
        <v>0</v>
      </c>
      <c r="J167">
        <v>9</v>
      </c>
      <c r="K167" t="s">
        <v>26</v>
      </c>
      <c r="L167" s="1">
        <v>45134</v>
      </c>
      <c r="M167" s="2" t="str">
        <f>TEXT(working_data_2[[#This Row],[Date]], "mmm-yy")</f>
        <v>Jul-23</v>
      </c>
      <c r="N167" s="4">
        <f>IFERROR(working_data_2[[#This Row],[Profit]]/working_data_2[[#This Row],[Sales Amount]], 0)</f>
        <v>0.32142857142857145</v>
      </c>
    </row>
    <row r="168" spans="1:14" x14ac:dyDescent="0.3">
      <c r="A168" t="s">
        <v>793</v>
      </c>
      <c r="B168" t="s">
        <v>1954</v>
      </c>
      <c r="C168" t="s">
        <v>796</v>
      </c>
      <c r="D168" t="s">
        <v>51</v>
      </c>
      <c r="E168" t="s">
        <v>32</v>
      </c>
      <c r="F168" t="s">
        <v>168</v>
      </c>
      <c r="G168">
        <v>68</v>
      </c>
      <c r="H168">
        <v>2</v>
      </c>
      <c r="I168">
        <v>0.1</v>
      </c>
      <c r="J168">
        <v>15</v>
      </c>
      <c r="K168" t="s">
        <v>18</v>
      </c>
      <c r="L168" s="1">
        <v>45135</v>
      </c>
      <c r="M168" s="2" t="str">
        <f>TEXT(working_data_2[[#This Row],[Date]], "mmm-yy")</f>
        <v>Jul-23</v>
      </c>
      <c r="N168" s="4">
        <f>IFERROR(working_data_2[[#This Row],[Profit]]/working_data_2[[#This Row],[Sales Amount]], 0)</f>
        <v>0.22058823529411764</v>
      </c>
    </row>
    <row r="169" spans="1:14" x14ac:dyDescent="0.3">
      <c r="A169" t="s">
        <v>797</v>
      </c>
      <c r="B169" t="s">
        <v>799</v>
      </c>
      <c r="C169" t="s">
        <v>800</v>
      </c>
      <c r="D169" t="s">
        <v>51</v>
      </c>
      <c r="E169" t="s">
        <v>16</v>
      </c>
      <c r="F169" t="s">
        <v>174</v>
      </c>
      <c r="G169">
        <v>33</v>
      </c>
      <c r="H169">
        <v>3</v>
      </c>
      <c r="I169">
        <v>0</v>
      </c>
      <c r="J169">
        <v>9</v>
      </c>
      <c r="K169" t="s">
        <v>26</v>
      </c>
      <c r="L169" s="1">
        <v>45136</v>
      </c>
      <c r="M169" s="2" t="str">
        <f>TEXT(working_data_2[[#This Row],[Date]], "mmm-yy")</f>
        <v>Jul-23</v>
      </c>
      <c r="N169" s="4">
        <f>IFERROR(working_data_2[[#This Row],[Profit]]/working_data_2[[#This Row],[Sales Amount]], 0)</f>
        <v>0.27272727272727271</v>
      </c>
    </row>
    <row r="170" spans="1:14" x14ac:dyDescent="0.3">
      <c r="A170" t="s">
        <v>801</v>
      </c>
      <c r="B170" t="s">
        <v>543</v>
      </c>
      <c r="C170" t="s">
        <v>104</v>
      </c>
      <c r="D170" t="s">
        <v>105</v>
      </c>
      <c r="E170" t="s">
        <v>16</v>
      </c>
      <c r="F170" t="s">
        <v>17</v>
      </c>
      <c r="G170">
        <v>1230</v>
      </c>
      <c r="H170">
        <v>1</v>
      </c>
      <c r="I170">
        <v>0.1</v>
      </c>
      <c r="J170">
        <v>158</v>
      </c>
      <c r="K170" t="s">
        <v>18</v>
      </c>
      <c r="L170" s="1">
        <v>45137</v>
      </c>
      <c r="M170" s="2" t="str">
        <f>TEXT(working_data_2[[#This Row],[Date]], "mmm-yy")</f>
        <v>Jul-23</v>
      </c>
      <c r="N170" s="4">
        <f>IFERROR(working_data_2[[#This Row],[Profit]]/working_data_2[[#This Row],[Sales Amount]], 0)</f>
        <v>0.12845528455284552</v>
      </c>
    </row>
    <row r="171" spans="1:14" x14ac:dyDescent="0.3">
      <c r="A171" t="s">
        <v>804</v>
      </c>
      <c r="B171" t="s">
        <v>1955</v>
      </c>
      <c r="C171" t="s">
        <v>807</v>
      </c>
      <c r="D171" t="s">
        <v>105</v>
      </c>
      <c r="E171" t="s">
        <v>45</v>
      </c>
      <c r="F171" t="s">
        <v>25</v>
      </c>
      <c r="G171">
        <v>29</v>
      </c>
      <c r="H171">
        <v>2</v>
      </c>
      <c r="I171">
        <v>0</v>
      </c>
      <c r="J171">
        <v>14</v>
      </c>
      <c r="K171" t="s">
        <v>26</v>
      </c>
      <c r="L171" s="1">
        <v>45138</v>
      </c>
      <c r="M171" s="2" t="str">
        <f>TEXT(working_data_2[[#This Row],[Date]], "mmm-yy")</f>
        <v>Jul-23</v>
      </c>
      <c r="N171" s="4">
        <f>IFERROR(working_data_2[[#This Row],[Profit]]/working_data_2[[#This Row],[Sales Amount]], 0)</f>
        <v>0.48275862068965519</v>
      </c>
    </row>
    <row r="172" spans="1:14" x14ac:dyDescent="0.3">
      <c r="A172" t="s">
        <v>811</v>
      </c>
      <c r="B172" t="s">
        <v>1956</v>
      </c>
      <c r="C172" t="s">
        <v>814</v>
      </c>
      <c r="D172" t="s">
        <v>105</v>
      </c>
      <c r="E172" t="s">
        <v>16</v>
      </c>
      <c r="F172" t="s">
        <v>39</v>
      </c>
      <c r="G172">
        <v>880</v>
      </c>
      <c r="H172">
        <v>1</v>
      </c>
      <c r="I172">
        <v>0.05</v>
      </c>
      <c r="J172">
        <v>118</v>
      </c>
      <c r="K172" t="s">
        <v>18</v>
      </c>
      <c r="L172" s="1">
        <v>44965</v>
      </c>
      <c r="M172" s="2" t="str">
        <f>TEXT(working_data_2[[#This Row],[Date]], "mmm-yy")</f>
        <v>Feb-23</v>
      </c>
      <c r="N172" s="4">
        <f>IFERROR(working_data_2[[#This Row],[Profit]]/working_data_2[[#This Row],[Sales Amount]], 0)</f>
        <v>0.13409090909090909</v>
      </c>
    </row>
    <row r="173" spans="1:14" x14ac:dyDescent="0.3">
      <c r="A173" t="s">
        <v>815</v>
      </c>
      <c r="B173" t="s">
        <v>817</v>
      </c>
      <c r="C173" t="s">
        <v>818</v>
      </c>
      <c r="D173" t="s">
        <v>105</v>
      </c>
      <c r="E173" t="s">
        <v>45</v>
      </c>
      <c r="F173" t="s">
        <v>46</v>
      </c>
      <c r="G173">
        <v>60</v>
      </c>
      <c r="H173">
        <v>3</v>
      </c>
      <c r="I173">
        <v>0</v>
      </c>
      <c r="J173">
        <v>23</v>
      </c>
      <c r="K173" t="s">
        <v>26</v>
      </c>
      <c r="L173" s="1">
        <v>44993</v>
      </c>
      <c r="M173" s="2" t="str">
        <f>TEXT(working_data_2[[#This Row],[Date]], "mmm-yy")</f>
        <v>Mar-23</v>
      </c>
      <c r="N173" s="4">
        <f>IFERROR(working_data_2[[#This Row],[Profit]]/working_data_2[[#This Row],[Sales Amount]], 0)</f>
        <v>0.38333333333333336</v>
      </c>
    </row>
    <row r="174" spans="1:14" x14ac:dyDescent="0.3">
      <c r="A174" t="s">
        <v>819</v>
      </c>
      <c r="B174" t="s">
        <v>821</v>
      </c>
      <c r="C174" t="s">
        <v>822</v>
      </c>
      <c r="D174" t="s">
        <v>105</v>
      </c>
      <c r="E174" t="s">
        <v>32</v>
      </c>
      <c r="F174" t="s">
        <v>53</v>
      </c>
      <c r="G174">
        <v>168</v>
      </c>
      <c r="H174">
        <v>4</v>
      </c>
      <c r="I174">
        <v>0.1</v>
      </c>
      <c r="J174">
        <v>26</v>
      </c>
      <c r="K174" t="s">
        <v>26</v>
      </c>
      <c r="L174" s="1">
        <v>45142</v>
      </c>
      <c r="M174" s="2" t="str">
        <f>TEXT(working_data_2[[#This Row],[Date]], "mmm-yy")</f>
        <v>Aug-23</v>
      </c>
      <c r="N174" s="4">
        <f>IFERROR(working_data_2[[#This Row],[Profit]]/working_data_2[[#This Row],[Sales Amount]], 0)</f>
        <v>0.15476190476190477</v>
      </c>
    </row>
    <row r="175" spans="1:14" x14ac:dyDescent="0.3">
      <c r="A175" t="s">
        <v>823</v>
      </c>
      <c r="B175" t="s">
        <v>825</v>
      </c>
      <c r="C175" t="s">
        <v>826</v>
      </c>
      <c r="D175" t="s">
        <v>105</v>
      </c>
      <c r="E175" t="s">
        <v>16</v>
      </c>
      <c r="F175" t="s">
        <v>59</v>
      </c>
      <c r="G175">
        <v>318</v>
      </c>
      <c r="H175">
        <v>2</v>
      </c>
      <c r="I175">
        <v>0</v>
      </c>
      <c r="J175">
        <v>50</v>
      </c>
      <c r="K175" t="s">
        <v>18</v>
      </c>
      <c r="L175" s="1">
        <v>45054</v>
      </c>
      <c r="M175" s="2" t="str">
        <f>TEXT(working_data_2[[#This Row],[Date]], "mmm-yy")</f>
        <v>May-23</v>
      </c>
      <c r="N175" s="4">
        <f>IFERROR(working_data_2[[#This Row],[Profit]]/working_data_2[[#This Row],[Sales Amount]], 0)</f>
        <v>0.15723270440251572</v>
      </c>
    </row>
    <row r="176" spans="1:14" x14ac:dyDescent="0.3">
      <c r="A176" t="s">
        <v>827</v>
      </c>
      <c r="B176" t="s">
        <v>829</v>
      </c>
      <c r="C176" t="s">
        <v>2004</v>
      </c>
      <c r="D176" t="s">
        <v>105</v>
      </c>
      <c r="E176" t="s">
        <v>45</v>
      </c>
      <c r="F176" t="s">
        <v>63</v>
      </c>
      <c r="G176">
        <v>88</v>
      </c>
      <c r="H176">
        <v>1</v>
      </c>
      <c r="I176">
        <v>0.2</v>
      </c>
      <c r="J176">
        <v>23</v>
      </c>
      <c r="K176" t="s">
        <v>26</v>
      </c>
      <c r="L176" s="1">
        <v>45085</v>
      </c>
      <c r="M176" s="2" t="str">
        <f>TEXT(working_data_2[[#This Row],[Date]], "mmm-yy")</f>
        <v>Jun-23</v>
      </c>
      <c r="N176" s="4">
        <f>IFERROR(working_data_2[[#This Row],[Profit]]/working_data_2[[#This Row],[Sales Amount]], 0)</f>
        <v>0.26136363636363635</v>
      </c>
    </row>
    <row r="177" spans="1:14" x14ac:dyDescent="0.3">
      <c r="A177" t="s">
        <v>830</v>
      </c>
      <c r="B177" t="s">
        <v>832</v>
      </c>
      <c r="C177" t="s">
        <v>833</v>
      </c>
      <c r="D177" t="s">
        <v>105</v>
      </c>
      <c r="E177" t="s">
        <v>32</v>
      </c>
      <c r="F177" t="s">
        <v>68</v>
      </c>
      <c r="G177">
        <v>990</v>
      </c>
      <c r="H177">
        <v>1</v>
      </c>
      <c r="I177">
        <v>0.15</v>
      </c>
      <c r="J177">
        <v>118</v>
      </c>
      <c r="K177" t="s">
        <v>18</v>
      </c>
      <c r="L177" s="1">
        <v>45145</v>
      </c>
      <c r="M177" s="2" t="str">
        <f>TEXT(working_data_2[[#This Row],[Date]], "mmm-yy")</f>
        <v>Aug-23</v>
      </c>
      <c r="N177" s="4">
        <f>IFERROR(working_data_2[[#This Row],[Profit]]/working_data_2[[#This Row],[Sales Amount]], 0)</f>
        <v>0.1191919191919192</v>
      </c>
    </row>
    <row r="178" spans="1:14" x14ac:dyDescent="0.3">
      <c r="A178" t="s">
        <v>842</v>
      </c>
      <c r="B178" t="s">
        <v>1957</v>
      </c>
      <c r="C178" t="s">
        <v>845</v>
      </c>
      <c r="D178" t="s">
        <v>105</v>
      </c>
      <c r="E178" t="s">
        <v>32</v>
      </c>
      <c r="F178" t="s">
        <v>84</v>
      </c>
      <c r="G178">
        <v>368</v>
      </c>
      <c r="H178">
        <v>1</v>
      </c>
      <c r="I178">
        <v>0.1</v>
      </c>
      <c r="J178">
        <v>50</v>
      </c>
      <c r="K178" t="s">
        <v>26</v>
      </c>
      <c r="L178" s="1">
        <v>45148</v>
      </c>
      <c r="M178" s="2" t="str">
        <f>TEXT(working_data_2[[#This Row],[Date]], "mmm-yy")</f>
        <v>Aug-23</v>
      </c>
      <c r="N178" s="4">
        <f>IFERROR(working_data_2[[#This Row],[Profit]]/working_data_2[[#This Row],[Sales Amount]], 0)</f>
        <v>0.1358695652173913</v>
      </c>
    </row>
    <row r="179" spans="1:14" x14ac:dyDescent="0.3">
      <c r="A179" t="s">
        <v>846</v>
      </c>
      <c r="B179" t="s">
        <v>1958</v>
      </c>
      <c r="C179" t="s">
        <v>849</v>
      </c>
      <c r="D179" t="s">
        <v>105</v>
      </c>
      <c r="E179" t="s">
        <v>16</v>
      </c>
      <c r="F179" t="s">
        <v>89</v>
      </c>
      <c r="G179">
        <v>268</v>
      </c>
      <c r="H179">
        <v>2</v>
      </c>
      <c r="I179">
        <v>0.05</v>
      </c>
      <c r="J179">
        <v>40</v>
      </c>
      <c r="K179" t="s">
        <v>18</v>
      </c>
      <c r="L179" s="1">
        <v>45149</v>
      </c>
      <c r="M179" s="2" t="str">
        <f>TEXT(working_data_2[[#This Row],[Date]], "mmm-yy")</f>
        <v>Aug-23</v>
      </c>
      <c r="N179" s="4">
        <f>IFERROR(working_data_2[[#This Row],[Profit]]/working_data_2[[#This Row],[Sales Amount]], 0)</f>
        <v>0.14925373134328357</v>
      </c>
    </row>
    <row r="180" spans="1:14" x14ac:dyDescent="0.3">
      <c r="A180" t="s">
        <v>850</v>
      </c>
      <c r="B180" t="s">
        <v>690</v>
      </c>
      <c r="C180" t="s">
        <v>415</v>
      </c>
      <c r="D180" t="s">
        <v>105</v>
      </c>
      <c r="E180" t="s">
        <v>45</v>
      </c>
      <c r="F180" t="s">
        <v>95</v>
      </c>
      <c r="G180">
        <v>168</v>
      </c>
      <c r="H180">
        <v>1</v>
      </c>
      <c r="I180">
        <v>0</v>
      </c>
      <c r="J180">
        <v>35</v>
      </c>
      <c r="K180" t="s">
        <v>26</v>
      </c>
      <c r="L180" s="1">
        <v>45268</v>
      </c>
      <c r="M180" s="2" t="str">
        <f>TEXT(working_data_2[[#This Row],[Date]], "mmm-yy")</f>
        <v>Dec-23</v>
      </c>
      <c r="N180" s="4">
        <f>IFERROR(working_data_2[[#This Row],[Profit]]/working_data_2[[#This Row],[Sales Amount]], 0)</f>
        <v>0.20833333333333334</v>
      </c>
    </row>
    <row r="181" spans="1:14" x14ac:dyDescent="0.3">
      <c r="A181" t="s">
        <v>852</v>
      </c>
      <c r="B181" t="s">
        <v>854</v>
      </c>
      <c r="C181" t="s">
        <v>855</v>
      </c>
      <c r="D181" t="s">
        <v>105</v>
      </c>
      <c r="E181" t="s">
        <v>32</v>
      </c>
      <c r="F181" t="s">
        <v>100</v>
      </c>
      <c r="G181">
        <v>218</v>
      </c>
      <c r="H181">
        <v>1</v>
      </c>
      <c r="I181">
        <v>0.1</v>
      </c>
      <c r="J181">
        <v>30</v>
      </c>
      <c r="K181" t="s">
        <v>18</v>
      </c>
      <c r="L181" s="1">
        <v>45151</v>
      </c>
      <c r="M181" s="2" t="str">
        <f>TEXT(working_data_2[[#This Row],[Date]], "mmm-yy")</f>
        <v>Aug-23</v>
      </c>
      <c r="N181" s="4">
        <f>IFERROR(working_data_2[[#This Row],[Profit]]/working_data_2[[#This Row],[Sales Amount]], 0)</f>
        <v>0.13761467889908258</v>
      </c>
    </row>
    <row r="182" spans="1:14" x14ac:dyDescent="0.3">
      <c r="A182" t="s">
        <v>856</v>
      </c>
      <c r="B182" t="s">
        <v>858</v>
      </c>
      <c r="C182" t="s">
        <v>859</v>
      </c>
      <c r="D182" t="s">
        <v>105</v>
      </c>
      <c r="E182" t="s">
        <v>16</v>
      </c>
      <c r="F182" t="s">
        <v>106</v>
      </c>
      <c r="G182">
        <v>218</v>
      </c>
      <c r="H182">
        <v>1</v>
      </c>
      <c r="I182">
        <v>0</v>
      </c>
      <c r="J182">
        <v>50</v>
      </c>
      <c r="K182" t="s">
        <v>26</v>
      </c>
      <c r="L182" s="1">
        <v>45152</v>
      </c>
      <c r="M182" s="2" t="str">
        <f>TEXT(working_data_2[[#This Row],[Date]], "mmm-yy")</f>
        <v>Aug-23</v>
      </c>
      <c r="N182" s="4">
        <f>IFERROR(working_data_2[[#This Row],[Profit]]/working_data_2[[#This Row],[Sales Amount]], 0)</f>
        <v>0.22935779816513763</v>
      </c>
    </row>
    <row r="183" spans="1:14" x14ac:dyDescent="0.3">
      <c r="A183" t="s">
        <v>860</v>
      </c>
      <c r="B183" t="s">
        <v>546</v>
      </c>
      <c r="C183" t="s">
        <v>862</v>
      </c>
      <c r="D183" t="s">
        <v>105</v>
      </c>
      <c r="E183" t="s">
        <v>45</v>
      </c>
      <c r="F183" t="s">
        <v>112</v>
      </c>
      <c r="G183">
        <v>70</v>
      </c>
      <c r="H183">
        <v>2</v>
      </c>
      <c r="I183">
        <v>0.1</v>
      </c>
      <c r="J183">
        <v>16</v>
      </c>
      <c r="K183" t="s">
        <v>18</v>
      </c>
      <c r="L183" s="1">
        <v>45153</v>
      </c>
      <c r="M183" s="2" t="str">
        <f>TEXT(working_data_2[[#This Row],[Date]], "mmm-yy")</f>
        <v>Aug-23</v>
      </c>
      <c r="N183" s="4">
        <f>IFERROR(working_data_2[[#This Row],[Profit]]/working_data_2[[#This Row],[Sales Amount]], 0)</f>
        <v>0.22857142857142856</v>
      </c>
    </row>
    <row r="184" spans="1:14" x14ac:dyDescent="0.3">
      <c r="A184" t="s">
        <v>863</v>
      </c>
      <c r="B184" t="s">
        <v>865</v>
      </c>
      <c r="C184" t="s">
        <v>2004</v>
      </c>
      <c r="D184" t="s">
        <v>105</v>
      </c>
      <c r="E184" t="s">
        <v>32</v>
      </c>
      <c r="F184" t="s">
        <v>117</v>
      </c>
      <c r="G184">
        <v>1100</v>
      </c>
      <c r="H184">
        <v>1</v>
      </c>
      <c r="I184">
        <v>0.2</v>
      </c>
      <c r="J184">
        <v>168</v>
      </c>
      <c r="K184" t="s">
        <v>26</v>
      </c>
      <c r="L184" s="1">
        <v>45154</v>
      </c>
      <c r="M184" s="2" t="str">
        <f>TEXT(working_data_2[[#This Row],[Date]], "mmm-yy")</f>
        <v>Aug-23</v>
      </c>
      <c r="N184" s="4">
        <f>IFERROR(working_data_2[[#This Row],[Profit]]/working_data_2[[#This Row],[Sales Amount]], 0)</f>
        <v>0.15272727272727274</v>
      </c>
    </row>
    <row r="185" spans="1:14" x14ac:dyDescent="0.3">
      <c r="A185" t="s">
        <v>866</v>
      </c>
      <c r="B185" t="s">
        <v>868</v>
      </c>
      <c r="C185" t="s">
        <v>869</v>
      </c>
      <c r="D185" t="s">
        <v>105</v>
      </c>
      <c r="E185" t="s">
        <v>16</v>
      </c>
      <c r="F185" t="s">
        <v>123</v>
      </c>
      <c r="G185">
        <v>700</v>
      </c>
      <c r="H185">
        <v>1</v>
      </c>
      <c r="I185">
        <v>0</v>
      </c>
      <c r="J185">
        <v>98</v>
      </c>
      <c r="K185" t="s">
        <v>18</v>
      </c>
      <c r="L185" s="1">
        <v>45155</v>
      </c>
      <c r="M185" s="2" t="str">
        <f>TEXT(working_data_2[[#This Row],[Date]], "mmm-yy")</f>
        <v>Aug-23</v>
      </c>
      <c r="N185" s="4">
        <f>IFERROR(working_data_2[[#This Row],[Profit]]/working_data_2[[#This Row],[Sales Amount]], 0)</f>
        <v>0.14000000000000001</v>
      </c>
    </row>
    <row r="186" spans="1:14" x14ac:dyDescent="0.3">
      <c r="A186" t="s">
        <v>870</v>
      </c>
      <c r="B186" t="s">
        <v>872</v>
      </c>
      <c r="C186" t="s">
        <v>873</v>
      </c>
      <c r="D186" t="s">
        <v>105</v>
      </c>
      <c r="E186" t="s">
        <v>45</v>
      </c>
      <c r="F186" t="s">
        <v>129</v>
      </c>
      <c r="G186">
        <v>40</v>
      </c>
      <c r="H186">
        <v>3</v>
      </c>
      <c r="I186">
        <v>0</v>
      </c>
      <c r="J186">
        <v>10</v>
      </c>
      <c r="K186" t="s">
        <v>26</v>
      </c>
      <c r="L186" s="1">
        <v>45156</v>
      </c>
      <c r="M186" s="2" t="str">
        <f>TEXT(working_data_2[[#This Row],[Date]], "mmm-yy")</f>
        <v>Aug-23</v>
      </c>
      <c r="N186" s="4">
        <f>IFERROR(working_data_2[[#This Row],[Profit]]/working_data_2[[#This Row],[Sales Amount]], 0)</f>
        <v>0.25</v>
      </c>
    </row>
    <row r="187" spans="1:14" x14ac:dyDescent="0.3">
      <c r="A187" t="s">
        <v>878</v>
      </c>
      <c r="B187" t="s">
        <v>880</v>
      </c>
      <c r="C187" t="s">
        <v>881</v>
      </c>
      <c r="D187" t="s">
        <v>105</v>
      </c>
      <c r="E187" t="s">
        <v>16</v>
      </c>
      <c r="F187" t="s">
        <v>141</v>
      </c>
      <c r="G187">
        <v>90</v>
      </c>
      <c r="H187">
        <v>2</v>
      </c>
      <c r="I187">
        <v>0.1</v>
      </c>
      <c r="J187">
        <v>23</v>
      </c>
      <c r="K187" t="s">
        <v>26</v>
      </c>
      <c r="L187" s="1">
        <v>45158</v>
      </c>
      <c r="M187" s="2" t="str">
        <f>TEXT(working_data_2[[#This Row],[Date]], "mmm-yy")</f>
        <v>Aug-23</v>
      </c>
      <c r="N187" s="4">
        <f>IFERROR(working_data_2[[#This Row],[Profit]]/working_data_2[[#This Row],[Sales Amount]], 0)</f>
        <v>0.25555555555555554</v>
      </c>
    </row>
    <row r="188" spans="1:14" x14ac:dyDescent="0.3">
      <c r="A188" t="s">
        <v>882</v>
      </c>
      <c r="B188" t="s">
        <v>884</v>
      </c>
      <c r="C188" t="s">
        <v>885</v>
      </c>
      <c r="D188" t="s">
        <v>105</v>
      </c>
      <c r="E188" t="s">
        <v>45</v>
      </c>
      <c r="F188" t="s">
        <v>146</v>
      </c>
      <c r="G188">
        <v>23</v>
      </c>
      <c r="H188">
        <v>5</v>
      </c>
      <c r="I188">
        <v>0</v>
      </c>
      <c r="J188">
        <v>10</v>
      </c>
      <c r="K188" t="s">
        <v>18</v>
      </c>
      <c r="L188" s="1">
        <v>45159</v>
      </c>
      <c r="M188" s="2" t="str">
        <f>TEXT(working_data_2[[#This Row],[Date]], "mmm-yy")</f>
        <v>Aug-23</v>
      </c>
      <c r="N188" s="4">
        <f>IFERROR(working_data_2[[#This Row],[Profit]]/working_data_2[[#This Row],[Sales Amount]], 0)</f>
        <v>0.43478260869565216</v>
      </c>
    </row>
    <row r="189" spans="1:14" x14ac:dyDescent="0.3">
      <c r="A189" t="s">
        <v>886</v>
      </c>
      <c r="B189" t="s">
        <v>888</v>
      </c>
      <c r="C189" t="s">
        <v>889</v>
      </c>
      <c r="D189" t="s">
        <v>105</v>
      </c>
      <c r="E189" t="s">
        <v>32</v>
      </c>
      <c r="F189" t="s">
        <v>152</v>
      </c>
      <c r="G189">
        <v>50</v>
      </c>
      <c r="H189">
        <v>4</v>
      </c>
      <c r="I189">
        <v>0</v>
      </c>
      <c r="J189">
        <v>16</v>
      </c>
      <c r="K189" t="s">
        <v>26</v>
      </c>
      <c r="L189" s="1">
        <v>45160</v>
      </c>
      <c r="M189" s="2" t="str">
        <f>TEXT(working_data_2[[#This Row],[Date]], "mmm-yy")</f>
        <v>Aug-23</v>
      </c>
      <c r="N189" s="4">
        <f>IFERROR(working_data_2[[#This Row],[Profit]]/working_data_2[[#This Row],[Sales Amount]], 0)</f>
        <v>0.32</v>
      </c>
    </row>
    <row r="190" spans="1:14" x14ac:dyDescent="0.3">
      <c r="A190" t="s">
        <v>890</v>
      </c>
      <c r="B190" t="s">
        <v>892</v>
      </c>
      <c r="C190" t="s">
        <v>893</v>
      </c>
      <c r="D190" t="s">
        <v>105</v>
      </c>
      <c r="E190" t="s">
        <v>16</v>
      </c>
      <c r="F190" t="s">
        <v>158</v>
      </c>
      <c r="G190">
        <v>60</v>
      </c>
      <c r="H190">
        <v>2</v>
      </c>
      <c r="I190">
        <v>0</v>
      </c>
      <c r="J190">
        <v>16</v>
      </c>
      <c r="K190" t="s">
        <v>18</v>
      </c>
      <c r="L190" s="1">
        <v>45161</v>
      </c>
      <c r="M190" s="2" t="str">
        <f>TEXT(working_data_2[[#This Row],[Date]], "mmm-yy")</f>
        <v>Aug-23</v>
      </c>
      <c r="N190" s="4">
        <f>IFERROR(working_data_2[[#This Row],[Profit]]/working_data_2[[#This Row],[Sales Amount]], 0)</f>
        <v>0.26666666666666666</v>
      </c>
    </row>
    <row r="191" spans="1:14" x14ac:dyDescent="0.3">
      <c r="A191" t="s">
        <v>894</v>
      </c>
      <c r="B191" t="s">
        <v>896</v>
      </c>
      <c r="C191" t="s">
        <v>2004</v>
      </c>
      <c r="D191" t="s">
        <v>105</v>
      </c>
      <c r="E191" t="s">
        <v>45</v>
      </c>
      <c r="F191" t="s">
        <v>163</v>
      </c>
      <c r="G191">
        <v>30</v>
      </c>
      <c r="H191">
        <v>1</v>
      </c>
      <c r="I191">
        <v>0</v>
      </c>
      <c r="J191">
        <v>10</v>
      </c>
      <c r="K191" t="s">
        <v>26</v>
      </c>
      <c r="L191" s="1">
        <v>45162</v>
      </c>
      <c r="M191" s="2" t="str">
        <f>TEXT(working_data_2[[#This Row],[Date]], "mmm-yy")</f>
        <v>Aug-23</v>
      </c>
      <c r="N191" s="4">
        <f>IFERROR(working_data_2[[#This Row],[Profit]]/working_data_2[[#This Row],[Sales Amount]], 0)</f>
        <v>0.33333333333333331</v>
      </c>
    </row>
    <row r="192" spans="1:14" x14ac:dyDescent="0.3">
      <c r="A192" t="s">
        <v>897</v>
      </c>
      <c r="B192" t="s">
        <v>1959</v>
      </c>
      <c r="C192" t="s">
        <v>900</v>
      </c>
      <c r="D192" t="s">
        <v>105</v>
      </c>
      <c r="E192" t="s">
        <v>32</v>
      </c>
      <c r="F192" t="s">
        <v>168</v>
      </c>
      <c r="G192">
        <v>70</v>
      </c>
      <c r="H192">
        <v>2</v>
      </c>
      <c r="I192">
        <v>0.1</v>
      </c>
      <c r="J192">
        <v>16</v>
      </c>
      <c r="K192" t="s">
        <v>18</v>
      </c>
      <c r="L192" s="1">
        <v>45163</v>
      </c>
      <c r="M192" s="2" t="str">
        <f>TEXT(working_data_2[[#This Row],[Date]], "mmm-yy")</f>
        <v>Aug-23</v>
      </c>
      <c r="N192" s="4">
        <f>IFERROR(working_data_2[[#This Row],[Profit]]/working_data_2[[#This Row],[Sales Amount]], 0)</f>
        <v>0.22857142857142856</v>
      </c>
    </row>
    <row r="193" spans="1:14" x14ac:dyDescent="0.3">
      <c r="A193" t="s">
        <v>901</v>
      </c>
      <c r="B193" t="s">
        <v>903</v>
      </c>
      <c r="C193" t="s">
        <v>904</v>
      </c>
      <c r="D193" t="s">
        <v>105</v>
      </c>
      <c r="E193" t="s">
        <v>16</v>
      </c>
      <c r="F193" t="s">
        <v>174</v>
      </c>
      <c r="G193">
        <v>35</v>
      </c>
      <c r="H193">
        <v>3</v>
      </c>
      <c r="I193">
        <v>0</v>
      </c>
      <c r="J193">
        <v>10</v>
      </c>
      <c r="K193" t="s">
        <v>26</v>
      </c>
      <c r="L193" s="1">
        <v>45164</v>
      </c>
      <c r="M193" s="2" t="str">
        <f>TEXT(working_data_2[[#This Row],[Date]], "mmm-yy")</f>
        <v>Aug-23</v>
      </c>
      <c r="N193" s="4">
        <f>IFERROR(working_data_2[[#This Row],[Profit]]/working_data_2[[#This Row],[Sales Amount]], 0)</f>
        <v>0.2857142857142857</v>
      </c>
    </row>
    <row r="194" spans="1:14" x14ac:dyDescent="0.3">
      <c r="A194" t="s">
        <v>905</v>
      </c>
      <c r="B194" t="s">
        <v>1960</v>
      </c>
      <c r="C194" t="s">
        <v>110</v>
      </c>
      <c r="D194" t="s">
        <v>111</v>
      </c>
      <c r="E194" t="s">
        <v>16</v>
      </c>
      <c r="F194" t="s">
        <v>17</v>
      </c>
      <c r="G194">
        <v>1240</v>
      </c>
      <c r="H194">
        <v>1</v>
      </c>
      <c r="I194">
        <v>0.1</v>
      </c>
      <c r="J194">
        <v>160</v>
      </c>
      <c r="K194" t="s">
        <v>18</v>
      </c>
      <c r="L194" s="1">
        <v>45165</v>
      </c>
      <c r="M194" s="2" t="str">
        <f>TEXT(working_data_2[[#This Row],[Date]], "mmm-yy")</f>
        <v>Aug-23</v>
      </c>
      <c r="N194" s="4">
        <f>IFERROR(working_data_2[[#This Row],[Profit]]/working_data_2[[#This Row],[Sales Amount]], 0)</f>
        <v>0.12903225806451613</v>
      </c>
    </row>
    <row r="195" spans="1:14" x14ac:dyDescent="0.3">
      <c r="A195" t="s">
        <v>908</v>
      </c>
      <c r="B195" t="s">
        <v>1961</v>
      </c>
      <c r="C195" t="s">
        <v>911</v>
      </c>
      <c r="D195" t="s">
        <v>111</v>
      </c>
      <c r="E195" t="s">
        <v>45</v>
      </c>
      <c r="F195" t="s">
        <v>25</v>
      </c>
      <c r="G195">
        <v>30</v>
      </c>
      <c r="H195">
        <v>2</v>
      </c>
      <c r="I195">
        <v>0</v>
      </c>
      <c r="J195">
        <v>15</v>
      </c>
      <c r="K195" t="s">
        <v>26</v>
      </c>
      <c r="L195" s="1">
        <v>45166</v>
      </c>
      <c r="M195" s="2" t="str">
        <f>TEXT(working_data_2[[#This Row],[Date]], "mmm-yy")</f>
        <v>Aug-23</v>
      </c>
      <c r="N195" s="4">
        <f>IFERROR(working_data_2[[#This Row],[Profit]]/working_data_2[[#This Row],[Sales Amount]], 0)</f>
        <v>0.5</v>
      </c>
    </row>
    <row r="196" spans="1:14" x14ac:dyDescent="0.3">
      <c r="A196" t="s">
        <v>915</v>
      </c>
      <c r="B196" t="s">
        <v>1962</v>
      </c>
      <c r="C196" t="s">
        <v>918</v>
      </c>
      <c r="D196" t="s">
        <v>111</v>
      </c>
      <c r="E196" t="s">
        <v>16</v>
      </c>
      <c r="F196" t="s">
        <v>39</v>
      </c>
      <c r="G196">
        <v>900</v>
      </c>
      <c r="H196">
        <v>1</v>
      </c>
      <c r="I196">
        <v>0.05</v>
      </c>
      <c r="J196">
        <v>120</v>
      </c>
      <c r="K196" t="s">
        <v>18</v>
      </c>
      <c r="L196" s="1">
        <v>45168</v>
      </c>
      <c r="M196" s="2" t="str">
        <f>TEXT(working_data_2[[#This Row],[Date]], "mmm-yy")</f>
        <v>Aug-23</v>
      </c>
      <c r="N196" s="4">
        <f>IFERROR(working_data_2[[#This Row],[Profit]]/working_data_2[[#This Row],[Sales Amount]], 0)</f>
        <v>0.13333333333333333</v>
      </c>
    </row>
    <row r="197" spans="1:14" x14ac:dyDescent="0.3">
      <c r="A197" t="s">
        <v>919</v>
      </c>
      <c r="B197" t="s">
        <v>921</v>
      </c>
      <c r="C197" t="s">
        <v>922</v>
      </c>
      <c r="D197" t="s">
        <v>111</v>
      </c>
      <c r="E197" t="s">
        <v>45</v>
      </c>
      <c r="F197" t="s">
        <v>46</v>
      </c>
      <c r="G197">
        <v>62</v>
      </c>
      <c r="H197">
        <v>3</v>
      </c>
      <c r="I197">
        <v>0</v>
      </c>
      <c r="J197">
        <v>25</v>
      </c>
      <c r="K197" t="s">
        <v>26</v>
      </c>
      <c r="L197" s="1">
        <v>45169</v>
      </c>
      <c r="M197" s="2" t="str">
        <f>TEXT(working_data_2[[#This Row],[Date]], "mmm-yy")</f>
        <v>Aug-23</v>
      </c>
      <c r="N197" s="4">
        <f>IFERROR(working_data_2[[#This Row],[Profit]]/working_data_2[[#This Row],[Sales Amount]], 0)</f>
        <v>0.40322580645161288</v>
      </c>
    </row>
    <row r="198" spans="1:14" x14ac:dyDescent="0.3">
      <c r="A198" t="s">
        <v>923</v>
      </c>
      <c r="B198" t="s">
        <v>925</v>
      </c>
      <c r="C198" t="s">
        <v>926</v>
      </c>
      <c r="D198" t="s">
        <v>111</v>
      </c>
      <c r="E198" t="s">
        <v>32</v>
      </c>
      <c r="F198" t="s">
        <v>53</v>
      </c>
      <c r="G198">
        <v>170</v>
      </c>
      <c r="H198">
        <v>4</v>
      </c>
      <c r="I198">
        <v>0.1</v>
      </c>
      <c r="J198">
        <v>28</v>
      </c>
      <c r="K198" t="s">
        <v>26</v>
      </c>
      <c r="L198" s="1">
        <v>45170</v>
      </c>
      <c r="M198" s="2" t="str">
        <f>TEXT(working_data_2[[#This Row],[Date]], "mmm-yy")</f>
        <v>Sep-23</v>
      </c>
      <c r="N198" s="4">
        <f>IFERROR(working_data_2[[#This Row],[Profit]]/working_data_2[[#This Row],[Sales Amount]], 0)</f>
        <v>0.16470588235294117</v>
      </c>
    </row>
    <row r="199" spans="1:14" x14ac:dyDescent="0.3">
      <c r="A199" t="s">
        <v>927</v>
      </c>
      <c r="B199" t="s">
        <v>929</v>
      </c>
      <c r="C199" t="s">
        <v>930</v>
      </c>
      <c r="D199" t="s">
        <v>111</v>
      </c>
      <c r="E199" t="s">
        <v>16</v>
      </c>
      <c r="F199" t="s">
        <v>59</v>
      </c>
      <c r="G199">
        <v>320</v>
      </c>
      <c r="H199">
        <v>2</v>
      </c>
      <c r="I199">
        <v>0</v>
      </c>
      <c r="J199">
        <v>52</v>
      </c>
      <c r="K199" t="s">
        <v>18</v>
      </c>
      <c r="L199" s="1">
        <v>44966</v>
      </c>
      <c r="M199" s="2" t="str">
        <f>TEXT(working_data_2[[#This Row],[Date]], "mmm-yy")</f>
        <v>Feb-23</v>
      </c>
      <c r="N199" s="4">
        <f>IFERROR(working_data_2[[#This Row],[Profit]]/working_data_2[[#This Row],[Sales Amount]], 0)</f>
        <v>0.16250000000000001</v>
      </c>
    </row>
    <row r="200" spans="1:14" x14ac:dyDescent="0.3">
      <c r="A200" t="s">
        <v>931</v>
      </c>
      <c r="B200" t="s">
        <v>933</v>
      </c>
      <c r="C200" t="s">
        <v>2004</v>
      </c>
      <c r="D200" t="s">
        <v>111</v>
      </c>
      <c r="E200" t="s">
        <v>45</v>
      </c>
      <c r="F200" t="s">
        <v>63</v>
      </c>
      <c r="G200">
        <v>90</v>
      </c>
      <c r="H200">
        <v>1</v>
      </c>
      <c r="I200">
        <v>0.2</v>
      </c>
      <c r="J200">
        <v>25</v>
      </c>
      <c r="K200" t="s">
        <v>26</v>
      </c>
      <c r="L200" s="1">
        <v>44994</v>
      </c>
      <c r="M200" s="2" t="str">
        <f>TEXT(working_data_2[[#This Row],[Date]], "mmm-yy")</f>
        <v>Mar-23</v>
      </c>
      <c r="N200" s="4">
        <f>IFERROR(working_data_2[[#This Row],[Profit]]/working_data_2[[#This Row],[Sales Amount]], 0)</f>
        <v>0.27777777777777779</v>
      </c>
    </row>
    <row r="201" spans="1:14" x14ac:dyDescent="0.3">
      <c r="A201" t="s">
        <v>934</v>
      </c>
      <c r="B201" t="s">
        <v>936</v>
      </c>
      <c r="C201" t="s">
        <v>937</v>
      </c>
      <c r="D201" t="s">
        <v>111</v>
      </c>
      <c r="E201" t="s">
        <v>32</v>
      </c>
      <c r="F201" t="s">
        <v>68</v>
      </c>
      <c r="G201">
        <v>1000</v>
      </c>
      <c r="H201">
        <v>1</v>
      </c>
      <c r="I201">
        <v>0.15</v>
      </c>
      <c r="J201">
        <v>120</v>
      </c>
      <c r="K201" t="s">
        <v>18</v>
      </c>
      <c r="L201" s="1">
        <v>45173</v>
      </c>
      <c r="M201" s="2" t="str">
        <f>TEXT(working_data_2[[#This Row],[Date]], "mmm-yy")</f>
        <v>Sep-23</v>
      </c>
      <c r="N201" s="4">
        <f>IFERROR(working_data_2[[#This Row],[Profit]]/working_data_2[[#This Row],[Sales Amount]], 0)</f>
        <v>0.12</v>
      </c>
    </row>
    <row r="202" spans="1:14" x14ac:dyDescent="0.3">
      <c r="A202" t="s">
        <v>945</v>
      </c>
      <c r="B202" t="s">
        <v>947</v>
      </c>
      <c r="C202" t="s">
        <v>948</v>
      </c>
      <c r="D202" t="s">
        <v>111</v>
      </c>
      <c r="E202" t="s">
        <v>32</v>
      </c>
      <c r="F202" t="s">
        <v>84</v>
      </c>
      <c r="G202">
        <v>370</v>
      </c>
      <c r="H202">
        <v>1</v>
      </c>
      <c r="I202">
        <v>0.1</v>
      </c>
      <c r="J202">
        <v>52</v>
      </c>
      <c r="K202" t="s">
        <v>26</v>
      </c>
      <c r="L202" s="1">
        <v>45176</v>
      </c>
      <c r="M202" s="2" t="str">
        <f>TEXT(working_data_2[[#This Row],[Date]], "mmm-yy")</f>
        <v>Sep-23</v>
      </c>
      <c r="N202" s="4">
        <f>IFERROR(working_data_2[[#This Row],[Profit]]/working_data_2[[#This Row],[Sales Amount]], 0)</f>
        <v>0.14054054054054055</v>
      </c>
    </row>
    <row r="203" spans="1:14" x14ac:dyDescent="0.3">
      <c r="A203" t="s">
        <v>949</v>
      </c>
      <c r="B203" t="s">
        <v>951</v>
      </c>
      <c r="C203" t="s">
        <v>952</v>
      </c>
      <c r="D203" t="s">
        <v>111</v>
      </c>
      <c r="E203" t="s">
        <v>16</v>
      </c>
      <c r="F203" t="s">
        <v>89</v>
      </c>
      <c r="G203">
        <v>270</v>
      </c>
      <c r="H203">
        <v>2</v>
      </c>
      <c r="I203">
        <v>0.05</v>
      </c>
      <c r="J203">
        <v>42</v>
      </c>
      <c r="K203" t="s">
        <v>18</v>
      </c>
      <c r="L203" s="1">
        <v>45177</v>
      </c>
      <c r="M203" s="2" t="str">
        <f>TEXT(working_data_2[[#This Row],[Date]], "mmm-yy")</f>
        <v>Sep-23</v>
      </c>
      <c r="N203" s="4">
        <f>IFERROR(working_data_2[[#This Row],[Profit]]/working_data_2[[#This Row],[Sales Amount]], 0)</f>
        <v>0.15555555555555556</v>
      </c>
    </row>
    <row r="204" spans="1:14" x14ac:dyDescent="0.3">
      <c r="A204" t="s">
        <v>953</v>
      </c>
      <c r="B204" t="s">
        <v>955</v>
      </c>
      <c r="C204" t="s">
        <v>956</v>
      </c>
      <c r="D204" t="s">
        <v>111</v>
      </c>
      <c r="E204" t="s">
        <v>45</v>
      </c>
      <c r="F204" t="s">
        <v>95</v>
      </c>
      <c r="G204">
        <v>170</v>
      </c>
      <c r="H204">
        <v>1</v>
      </c>
      <c r="I204">
        <v>0</v>
      </c>
      <c r="J204">
        <v>37</v>
      </c>
      <c r="K204" t="s">
        <v>26</v>
      </c>
      <c r="L204" s="1">
        <v>45178</v>
      </c>
      <c r="M204" s="2" t="str">
        <f>TEXT(working_data_2[[#This Row],[Date]], "mmm-yy")</f>
        <v>Sep-23</v>
      </c>
      <c r="N204" s="4">
        <f>IFERROR(working_data_2[[#This Row],[Profit]]/working_data_2[[#This Row],[Sales Amount]], 0)</f>
        <v>0.21764705882352942</v>
      </c>
    </row>
    <row r="205" spans="1:14" x14ac:dyDescent="0.3">
      <c r="A205" t="s">
        <v>957</v>
      </c>
      <c r="B205" t="s">
        <v>959</v>
      </c>
      <c r="C205" t="s">
        <v>960</v>
      </c>
      <c r="D205" t="s">
        <v>111</v>
      </c>
      <c r="E205" t="s">
        <v>32</v>
      </c>
      <c r="F205" t="s">
        <v>100</v>
      </c>
      <c r="G205">
        <v>220</v>
      </c>
      <c r="H205">
        <v>1</v>
      </c>
      <c r="I205">
        <v>0.1</v>
      </c>
      <c r="J205">
        <v>32</v>
      </c>
      <c r="K205" t="s">
        <v>18</v>
      </c>
      <c r="L205" s="1">
        <v>45208</v>
      </c>
      <c r="M205" s="2" t="str">
        <f>TEXT(working_data_2[[#This Row],[Date]], "mmm-yy")</f>
        <v>Oct-23</v>
      </c>
      <c r="N205" s="4">
        <f>IFERROR(working_data_2[[#This Row],[Profit]]/working_data_2[[#This Row],[Sales Amount]], 0)</f>
        <v>0.14545454545454545</v>
      </c>
    </row>
    <row r="206" spans="1:14" x14ac:dyDescent="0.3">
      <c r="A206" t="s">
        <v>961</v>
      </c>
      <c r="B206" t="s">
        <v>963</v>
      </c>
      <c r="C206" t="s">
        <v>93</v>
      </c>
      <c r="D206" t="s">
        <v>111</v>
      </c>
      <c r="E206" t="s">
        <v>16</v>
      </c>
      <c r="F206" t="s">
        <v>106</v>
      </c>
      <c r="G206">
        <v>220</v>
      </c>
      <c r="H206">
        <v>1</v>
      </c>
      <c r="I206">
        <v>0</v>
      </c>
      <c r="J206">
        <v>52</v>
      </c>
      <c r="K206" t="s">
        <v>26</v>
      </c>
      <c r="L206" s="1">
        <v>45180</v>
      </c>
      <c r="M206" s="2" t="str">
        <f>TEXT(working_data_2[[#This Row],[Date]], "mmm-yy")</f>
        <v>Sep-23</v>
      </c>
      <c r="N206" s="4">
        <f>IFERROR(working_data_2[[#This Row],[Profit]]/working_data_2[[#This Row],[Sales Amount]], 0)</f>
        <v>0.23636363636363636</v>
      </c>
    </row>
    <row r="207" spans="1:14" x14ac:dyDescent="0.3">
      <c r="A207" t="s">
        <v>964</v>
      </c>
      <c r="B207" t="s">
        <v>966</v>
      </c>
      <c r="C207" t="s">
        <v>967</v>
      </c>
      <c r="D207" t="s">
        <v>111</v>
      </c>
      <c r="E207" t="s">
        <v>45</v>
      </c>
      <c r="F207" t="s">
        <v>112</v>
      </c>
      <c r="G207">
        <v>72</v>
      </c>
      <c r="H207">
        <v>2</v>
      </c>
      <c r="I207">
        <v>0.1</v>
      </c>
      <c r="J207">
        <v>17</v>
      </c>
      <c r="K207" t="s">
        <v>18</v>
      </c>
      <c r="L207" s="1">
        <v>45269</v>
      </c>
      <c r="M207" s="2" t="str">
        <f>TEXT(working_data_2[[#This Row],[Date]], "mmm-yy")</f>
        <v>Dec-23</v>
      </c>
      <c r="N207" s="4">
        <f>IFERROR(working_data_2[[#This Row],[Profit]]/working_data_2[[#This Row],[Sales Amount]], 0)</f>
        <v>0.2361111111111111</v>
      </c>
    </row>
    <row r="208" spans="1:14" x14ac:dyDescent="0.3">
      <c r="A208" t="s">
        <v>968</v>
      </c>
      <c r="B208" t="s">
        <v>970</v>
      </c>
      <c r="C208" t="s">
        <v>2004</v>
      </c>
      <c r="D208" t="s">
        <v>111</v>
      </c>
      <c r="E208" t="s">
        <v>32</v>
      </c>
      <c r="F208" t="s">
        <v>117</v>
      </c>
      <c r="G208">
        <v>1120</v>
      </c>
      <c r="H208">
        <v>1</v>
      </c>
      <c r="I208">
        <v>0.2</v>
      </c>
      <c r="J208">
        <v>170</v>
      </c>
      <c r="K208" t="s">
        <v>26</v>
      </c>
      <c r="L208" s="1">
        <v>45182</v>
      </c>
      <c r="M208" s="2" t="str">
        <f>TEXT(working_data_2[[#This Row],[Date]], "mmm-yy")</f>
        <v>Sep-23</v>
      </c>
      <c r="N208" s="4">
        <f>IFERROR(working_data_2[[#This Row],[Profit]]/working_data_2[[#This Row],[Sales Amount]], 0)</f>
        <v>0.15178571428571427</v>
      </c>
    </row>
    <row r="209" spans="1:14" x14ac:dyDescent="0.3">
      <c r="A209" t="s">
        <v>971</v>
      </c>
      <c r="B209" t="s">
        <v>1963</v>
      </c>
      <c r="C209" t="s">
        <v>974</v>
      </c>
      <c r="D209" t="s">
        <v>111</v>
      </c>
      <c r="E209" t="s">
        <v>16</v>
      </c>
      <c r="F209" t="s">
        <v>123</v>
      </c>
      <c r="G209">
        <v>720</v>
      </c>
      <c r="H209">
        <v>1</v>
      </c>
      <c r="I209">
        <v>0</v>
      </c>
      <c r="J209">
        <v>100</v>
      </c>
      <c r="K209" t="s">
        <v>18</v>
      </c>
      <c r="L209" s="1">
        <v>45183</v>
      </c>
      <c r="M209" s="2" t="str">
        <f>TEXT(working_data_2[[#This Row],[Date]], "mmm-yy")</f>
        <v>Sep-23</v>
      </c>
      <c r="N209" s="4">
        <f>IFERROR(working_data_2[[#This Row],[Profit]]/working_data_2[[#This Row],[Sales Amount]], 0)</f>
        <v>0.1388888888888889</v>
      </c>
    </row>
    <row r="210" spans="1:14" x14ac:dyDescent="0.3">
      <c r="A210" t="s">
        <v>975</v>
      </c>
      <c r="B210" t="s">
        <v>977</v>
      </c>
      <c r="C210" t="s">
        <v>978</v>
      </c>
      <c r="D210" t="s">
        <v>111</v>
      </c>
      <c r="E210" t="s">
        <v>45</v>
      </c>
      <c r="F210" t="s">
        <v>129</v>
      </c>
      <c r="G210">
        <v>42</v>
      </c>
      <c r="H210">
        <v>3</v>
      </c>
      <c r="I210">
        <v>0</v>
      </c>
      <c r="J210">
        <v>11</v>
      </c>
      <c r="K210" t="s">
        <v>26</v>
      </c>
      <c r="L210" s="1">
        <v>45184</v>
      </c>
      <c r="M210" s="2" t="str">
        <f>TEXT(working_data_2[[#This Row],[Date]], "mmm-yy")</f>
        <v>Sep-23</v>
      </c>
      <c r="N210" s="4">
        <f>IFERROR(working_data_2[[#This Row],[Profit]]/working_data_2[[#This Row],[Sales Amount]], 0)</f>
        <v>0.26190476190476192</v>
      </c>
    </row>
    <row r="211" spans="1:14" x14ac:dyDescent="0.3">
      <c r="A211" t="s">
        <v>983</v>
      </c>
      <c r="B211" t="s">
        <v>985</v>
      </c>
      <c r="C211" t="s">
        <v>986</v>
      </c>
      <c r="D211" t="s">
        <v>111</v>
      </c>
      <c r="E211" t="s">
        <v>16</v>
      </c>
      <c r="F211" t="s">
        <v>141</v>
      </c>
      <c r="G211">
        <v>92</v>
      </c>
      <c r="H211">
        <v>2</v>
      </c>
      <c r="I211">
        <v>0.1</v>
      </c>
      <c r="J211">
        <v>25</v>
      </c>
      <c r="K211" t="s">
        <v>26</v>
      </c>
      <c r="L211" s="1">
        <v>45186</v>
      </c>
      <c r="M211" s="2" t="str">
        <f>TEXT(working_data_2[[#This Row],[Date]], "mmm-yy")</f>
        <v>Sep-23</v>
      </c>
      <c r="N211" s="4">
        <f>IFERROR(working_data_2[[#This Row],[Profit]]/working_data_2[[#This Row],[Sales Amount]], 0)</f>
        <v>0.27173913043478259</v>
      </c>
    </row>
    <row r="212" spans="1:14" x14ac:dyDescent="0.3">
      <c r="A212" t="s">
        <v>987</v>
      </c>
      <c r="B212" t="s">
        <v>1964</v>
      </c>
      <c r="C212" t="s">
        <v>990</v>
      </c>
      <c r="D212" t="s">
        <v>111</v>
      </c>
      <c r="E212" t="s">
        <v>45</v>
      </c>
      <c r="F212" t="s">
        <v>146</v>
      </c>
      <c r="G212">
        <v>25</v>
      </c>
      <c r="H212">
        <v>5</v>
      </c>
      <c r="I212">
        <v>0</v>
      </c>
      <c r="J212">
        <v>11</v>
      </c>
      <c r="K212" t="s">
        <v>18</v>
      </c>
      <c r="L212" s="1">
        <v>45187</v>
      </c>
      <c r="M212" s="2" t="str">
        <f>TEXT(working_data_2[[#This Row],[Date]], "mmm-yy")</f>
        <v>Sep-23</v>
      </c>
      <c r="N212" s="4">
        <f>IFERROR(working_data_2[[#This Row],[Profit]]/working_data_2[[#This Row],[Sales Amount]], 0)</f>
        <v>0.44</v>
      </c>
    </row>
    <row r="213" spans="1:14" x14ac:dyDescent="0.3">
      <c r="A213" t="s">
        <v>991</v>
      </c>
      <c r="B213" t="s">
        <v>993</v>
      </c>
      <c r="C213" t="s">
        <v>994</v>
      </c>
      <c r="D213" t="s">
        <v>111</v>
      </c>
      <c r="E213" t="s">
        <v>32</v>
      </c>
      <c r="F213" t="s">
        <v>152</v>
      </c>
      <c r="G213">
        <v>52</v>
      </c>
      <c r="H213">
        <v>4</v>
      </c>
      <c r="I213">
        <v>0</v>
      </c>
      <c r="J213">
        <v>17</v>
      </c>
      <c r="K213" t="s">
        <v>26</v>
      </c>
      <c r="L213" s="1">
        <v>45188</v>
      </c>
      <c r="M213" s="2" t="str">
        <f>TEXT(working_data_2[[#This Row],[Date]], "mmm-yy")</f>
        <v>Sep-23</v>
      </c>
      <c r="N213" s="4">
        <f>IFERROR(working_data_2[[#This Row],[Profit]]/working_data_2[[#This Row],[Sales Amount]], 0)</f>
        <v>0.32692307692307693</v>
      </c>
    </row>
    <row r="214" spans="1:14" x14ac:dyDescent="0.3">
      <c r="A214" t="s">
        <v>995</v>
      </c>
      <c r="B214" t="s">
        <v>997</v>
      </c>
      <c r="C214" t="s">
        <v>998</v>
      </c>
      <c r="D214" t="s">
        <v>111</v>
      </c>
      <c r="E214" t="s">
        <v>16</v>
      </c>
      <c r="F214" t="s">
        <v>158</v>
      </c>
      <c r="G214">
        <v>62</v>
      </c>
      <c r="H214">
        <v>2</v>
      </c>
      <c r="I214">
        <v>0</v>
      </c>
      <c r="J214">
        <v>17</v>
      </c>
      <c r="K214" t="s">
        <v>18</v>
      </c>
      <c r="L214" s="1">
        <v>45189</v>
      </c>
      <c r="M214" s="2" t="str">
        <f>TEXT(working_data_2[[#This Row],[Date]], "mmm-yy")</f>
        <v>Sep-23</v>
      </c>
      <c r="N214" s="4">
        <f>IFERROR(working_data_2[[#This Row],[Profit]]/working_data_2[[#This Row],[Sales Amount]], 0)</f>
        <v>0.27419354838709675</v>
      </c>
    </row>
    <row r="215" spans="1:14" x14ac:dyDescent="0.3">
      <c r="A215" t="s">
        <v>999</v>
      </c>
      <c r="B215" t="s">
        <v>1001</v>
      </c>
      <c r="C215" t="s">
        <v>2004</v>
      </c>
      <c r="D215" t="s">
        <v>111</v>
      </c>
      <c r="E215" t="s">
        <v>45</v>
      </c>
      <c r="F215" t="s">
        <v>163</v>
      </c>
      <c r="G215">
        <v>32</v>
      </c>
      <c r="H215">
        <v>1</v>
      </c>
      <c r="I215">
        <v>0</v>
      </c>
      <c r="J215">
        <v>11</v>
      </c>
      <c r="K215" t="s">
        <v>26</v>
      </c>
      <c r="L215" s="1">
        <v>45190</v>
      </c>
      <c r="M215" s="2" t="str">
        <f>TEXT(working_data_2[[#This Row],[Date]], "mmm-yy")</f>
        <v>Sep-23</v>
      </c>
      <c r="N215" s="4">
        <f>IFERROR(working_data_2[[#This Row],[Profit]]/working_data_2[[#This Row],[Sales Amount]], 0)</f>
        <v>0.34375</v>
      </c>
    </row>
    <row r="216" spans="1:14" x14ac:dyDescent="0.3">
      <c r="A216" t="s">
        <v>1002</v>
      </c>
      <c r="B216" t="s">
        <v>1004</v>
      </c>
      <c r="C216" t="s">
        <v>1005</v>
      </c>
      <c r="D216" t="s">
        <v>111</v>
      </c>
      <c r="E216" t="s">
        <v>32</v>
      </c>
      <c r="F216" t="s">
        <v>168</v>
      </c>
      <c r="G216">
        <v>72</v>
      </c>
      <c r="H216">
        <v>2</v>
      </c>
      <c r="I216">
        <v>0.1</v>
      </c>
      <c r="J216">
        <v>17</v>
      </c>
      <c r="K216" t="s">
        <v>18</v>
      </c>
      <c r="L216" s="1">
        <v>45191</v>
      </c>
      <c r="M216" s="2" t="str">
        <f>TEXT(working_data_2[[#This Row],[Date]], "mmm-yy")</f>
        <v>Sep-23</v>
      </c>
      <c r="N216" s="4">
        <f>IFERROR(working_data_2[[#This Row],[Profit]]/working_data_2[[#This Row],[Sales Amount]], 0)</f>
        <v>0.2361111111111111</v>
      </c>
    </row>
    <row r="217" spans="1:14" x14ac:dyDescent="0.3">
      <c r="A217" t="s">
        <v>1006</v>
      </c>
      <c r="B217" t="s">
        <v>1008</v>
      </c>
      <c r="C217" t="s">
        <v>1009</v>
      </c>
      <c r="D217" t="s">
        <v>111</v>
      </c>
      <c r="E217" t="s">
        <v>16</v>
      </c>
      <c r="F217" t="s">
        <v>174</v>
      </c>
      <c r="G217">
        <v>37</v>
      </c>
      <c r="H217">
        <v>3</v>
      </c>
      <c r="I217">
        <v>0</v>
      </c>
      <c r="J217">
        <v>11</v>
      </c>
      <c r="K217" t="s">
        <v>26</v>
      </c>
      <c r="L217" s="1">
        <v>45192</v>
      </c>
      <c r="M217" s="2" t="str">
        <f>TEXT(working_data_2[[#This Row],[Date]], "mmm-yy")</f>
        <v>Sep-23</v>
      </c>
      <c r="N217" s="4">
        <f>IFERROR(working_data_2[[#This Row],[Profit]]/working_data_2[[#This Row],[Sales Amount]], 0)</f>
        <v>0.29729729729729731</v>
      </c>
    </row>
    <row r="218" spans="1:14" x14ac:dyDescent="0.3">
      <c r="A218" t="s">
        <v>1010</v>
      </c>
      <c r="B218" t="s">
        <v>1965</v>
      </c>
      <c r="C218" t="s">
        <v>121</v>
      </c>
      <c r="D218" t="s">
        <v>122</v>
      </c>
      <c r="E218" t="s">
        <v>16</v>
      </c>
      <c r="F218" t="s">
        <v>17</v>
      </c>
      <c r="G218">
        <v>1250</v>
      </c>
      <c r="H218">
        <v>1</v>
      </c>
      <c r="I218">
        <v>0.1</v>
      </c>
      <c r="J218">
        <v>162</v>
      </c>
      <c r="K218" t="s">
        <v>18</v>
      </c>
      <c r="L218" s="1">
        <v>45193</v>
      </c>
      <c r="M218" s="2" t="str">
        <f>TEXT(working_data_2[[#This Row],[Date]], "mmm-yy")</f>
        <v>Sep-23</v>
      </c>
      <c r="N218" s="4">
        <f>IFERROR(working_data_2[[#This Row],[Profit]]/working_data_2[[#This Row],[Sales Amount]], 0)</f>
        <v>0.12959999999999999</v>
      </c>
    </row>
    <row r="219" spans="1:14" x14ac:dyDescent="0.3">
      <c r="A219" t="s">
        <v>1013</v>
      </c>
      <c r="B219" t="s">
        <v>1966</v>
      </c>
      <c r="C219" t="s">
        <v>1016</v>
      </c>
      <c r="D219" t="s">
        <v>122</v>
      </c>
      <c r="E219" t="s">
        <v>45</v>
      </c>
      <c r="F219" t="s">
        <v>25</v>
      </c>
      <c r="G219">
        <v>31</v>
      </c>
      <c r="H219">
        <v>2</v>
      </c>
      <c r="I219">
        <v>0</v>
      </c>
      <c r="J219">
        <v>16</v>
      </c>
      <c r="K219" t="s">
        <v>26</v>
      </c>
      <c r="L219" s="1">
        <v>45194</v>
      </c>
      <c r="M219" s="2" t="str">
        <f>TEXT(working_data_2[[#This Row],[Date]], "mmm-yy")</f>
        <v>Sep-23</v>
      </c>
      <c r="N219" s="4">
        <f>IFERROR(working_data_2[[#This Row],[Profit]]/working_data_2[[#This Row],[Sales Amount]], 0)</f>
        <v>0.5161290322580645</v>
      </c>
    </row>
    <row r="220" spans="1:14" x14ac:dyDescent="0.3">
      <c r="A220" t="s">
        <v>1020</v>
      </c>
      <c r="B220" t="s">
        <v>985</v>
      </c>
      <c r="C220" t="s">
        <v>1023</v>
      </c>
      <c r="D220" t="s">
        <v>122</v>
      </c>
      <c r="E220" t="s">
        <v>16</v>
      </c>
      <c r="F220" t="s">
        <v>39</v>
      </c>
      <c r="G220">
        <v>920</v>
      </c>
      <c r="H220">
        <v>1</v>
      </c>
      <c r="I220">
        <v>0.05</v>
      </c>
      <c r="J220">
        <v>122</v>
      </c>
      <c r="K220" t="s">
        <v>18</v>
      </c>
      <c r="L220" s="1">
        <v>45196</v>
      </c>
      <c r="M220" s="2" t="str">
        <f>TEXT(working_data_2[[#This Row],[Date]], "mmm-yy")</f>
        <v>Sep-23</v>
      </c>
      <c r="N220" s="4">
        <f>IFERROR(working_data_2[[#This Row],[Profit]]/working_data_2[[#This Row],[Sales Amount]], 0)</f>
        <v>0.13260869565217392</v>
      </c>
    </row>
    <row r="221" spans="1:14" x14ac:dyDescent="0.3">
      <c r="A221" t="s">
        <v>1024</v>
      </c>
      <c r="B221" t="s">
        <v>1026</v>
      </c>
      <c r="C221" t="s">
        <v>1027</v>
      </c>
      <c r="D221" t="s">
        <v>122</v>
      </c>
      <c r="E221" t="s">
        <v>45</v>
      </c>
      <c r="F221" t="s">
        <v>46</v>
      </c>
      <c r="G221">
        <v>64</v>
      </c>
      <c r="H221">
        <v>3</v>
      </c>
      <c r="I221">
        <v>0</v>
      </c>
      <c r="J221">
        <v>27</v>
      </c>
      <c r="K221" t="s">
        <v>26</v>
      </c>
      <c r="L221" s="1">
        <v>45197</v>
      </c>
      <c r="M221" s="2" t="str">
        <f>TEXT(working_data_2[[#This Row],[Date]], "mmm-yy")</f>
        <v>Sep-23</v>
      </c>
      <c r="N221" s="4">
        <f>IFERROR(working_data_2[[#This Row],[Profit]]/working_data_2[[#This Row],[Sales Amount]], 0)</f>
        <v>0.421875</v>
      </c>
    </row>
    <row r="222" spans="1:14" x14ac:dyDescent="0.3">
      <c r="A222" t="s">
        <v>1028</v>
      </c>
      <c r="B222" t="s">
        <v>1030</v>
      </c>
      <c r="C222" t="s">
        <v>1031</v>
      </c>
      <c r="D222" t="s">
        <v>122</v>
      </c>
      <c r="E222" t="s">
        <v>32</v>
      </c>
      <c r="F222" t="s">
        <v>53</v>
      </c>
      <c r="G222">
        <v>172</v>
      </c>
      <c r="H222">
        <v>4</v>
      </c>
      <c r="I222">
        <v>0.1</v>
      </c>
      <c r="J222">
        <v>30</v>
      </c>
      <c r="K222" t="s">
        <v>26</v>
      </c>
      <c r="L222" s="1">
        <v>45198</v>
      </c>
      <c r="M222" s="2" t="str">
        <f>TEXT(working_data_2[[#This Row],[Date]], "mmm-yy")</f>
        <v>Sep-23</v>
      </c>
      <c r="N222" s="4">
        <f>IFERROR(working_data_2[[#This Row],[Profit]]/working_data_2[[#This Row],[Sales Amount]], 0)</f>
        <v>0.1744186046511628</v>
      </c>
    </row>
    <row r="223" spans="1:14" x14ac:dyDescent="0.3">
      <c r="A223" t="s">
        <v>1032</v>
      </c>
      <c r="B223" t="s">
        <v>1034</v>
      </c>
      <c r="C223" t="s">
        <v>1035</v>
      </c>
      <c r="D223" t="s">
        <v>122</v>
      </c>
      <c r="E223" t="s">
        <v>16</v>
      </c>
      <c r="F223" t="s">
        <v>59</v>
      </c>
      <c r="G223">
        <v>322</v>
      </c>
      <c r="H223">
        <v>2</v>
      </c>
      <c r="I223">
        <v>0</v>
      </c>
      <c r="J223">
        <v>54</v>
      </c>
      <c r="K223" t="s">
        <v>18</v>
      </c>
      <c r="L223" s="1">
        <v>45199</v>
      </c>
      <c r="M223" s="2" t="str">
        <f>TEXT(working_data_2[[#This Row],[Date]], "mmm-yy")</f>
        <v>Sep-23</v>
      </c>
      <c r="N223" s="4">
        <f>IFERROR(working_data_2[[#This Row],[Profit]]/working_data_2[[#This Row],[Sales Amount]], 0)</f>
        <v>0.16770186335403728</v>
      </c>
    </row>
    <row r="224" spans="1:14" x14ac:dyDescent="0.3">
      <c r="A224" t="s">
        <v>1036</v>
      </c>
      <c r="B224" t="s">
        <v>1038</v>
      </c>
      <c r="C224" t="s">
        <v>2004</v>
      </c>
      <c r="D224" t="s">
        <v>122</v>
      </c>
      <c r="E224" t="s">
        <v>45</v>
      </c>
      <c r="F224" t="s">
        <v>63</v>
      </c>
      <c r="G224">
        <v>92</v>
      </c>
      <c r="H224">
        <v>1</v>
      </c>
      <c r="I224">
        <v>0.2</v>
      </c>
      <c r="J224">
        <v>27</v>
      </c>
      <c r="K224" t="s">
        <v>26</v>
      </c>
      <c r="L224" s="1">
        <v>44936</v>
      </c>
      <c r="M224" s="2" t="str">
        <f>TEXT(working_data_2[[#This Row],[Date]], "mmm-yy")</f>
        <v>Jan-23</v>
      </c>
      <c r="N224" s="4">
        <f>IFERROR(working_data_2[[#This Row],[Profit]]/working_data_2[[#This Row],[Sales Amount]], 0)</f>
        <v>0.29347826086956524</v>
      </c>
    </row>
    <row r="225" spans="1:14" x14ac:dyDescent="0.3">
      <c r="A225" t="s">
        <v>1039</v>
      </c>
      <c r="B225" t="s">
        <v>1041</v>
      </c>
      <c r="C225" t="s">
        <v>1042</v>
      </c>
      <c r="D225" t="s">
        <v>122</v>
      </c>
      <c r="E225" t="s">
        <v>32</v>
      </c>
      <c r="F225" t="s">
        <v>68</v>
      </c>
      <c r="G225">
        <v>1020</v>
      </c>
      <c r="H225">
        <v>1</v>
      </c>
      <c r="I225">
        <v>0.15</v>
      </c>
      <c r="J225">
        <v>122</v>
      </c>
      <c r="K225" t="s">
        <v>18</v>
      </c>
      <c r="L225" s="1">
        <v>45201</v>
      </c>
      <c r="M225" s="2" t="str">
        <f>TEXT(working_data_2[[#This Row],[Date]], "mmm-yy")</f>
        <v>Oct-23</v>
      </c>
      <c r="N225" s="4">
        <f>IFERROR(working_data_2[[#This Row],[Profit]]/working_data_2[[#This Row],[Sales Amount]], 0)</f>
        <v>0.11960784313725491</v>
      </c>
    </row>
    <row r="226" spans="1:14" x14ac:dyDescent="0.3">
      <c r="A226" t="s">
        <v>1051</v>
      </c>
      <c r="B226" t="s">
        <v>1053</v>
      </c>
      <c r="C226" t="s">
        <v>1054</v>
      </c>
      <c r="D226" t="s">
        <v>122</v>
      </c>
      <c r="E226" t="s">
        <v>32</v>
      </c>
      <c r="F226" t="s">
        <v>84</v>
      </c>
      <c r="G226">
        <v>372</v>
      </c>
      <c r="H226">
        <v>1</v>
      </c>
      <c r="I226">
        <v>0.1</v>
      </c>
      <c r="J226">
        <v>54</v>
      </c>
      <c r="K226" t="s">
        <v>26</v>
      </c>
      <c r="L226" s="1">
        <v>45204</v>
      </c>
      <c r="M226" s="2" t="str">
        <f>TEXT(working_data_2[[#This Row],[Date]], "mmm-yy")</f>
        <v>Oct-23</v>
      </c>
      <c r="N226" s="4">
        <f>IFERROR(working_data_2[[#This Row],[Profit]]/working_data_2[[#This Row],[Sales Amount]], 0)</f>
        <v>0.14516129032258066</v>
      </c>
    </row>
    <row r="227" spans="1:14" x14ac:dyDescent="0.3">
      <c r="A227" t="s">
        <v>1055</v>
      </c>
      <c r="B227" t="s">
        <v>1057</v>
      </c>
      <c r="C227" t="s">
        <v>1058</v>
      </c>
      <c r="D227" t="s">
        <v>122</v>
      </c>
      <c r="E227" t="s">
        <v>16</v>
      </c>
      <c r="F227" t="s">
        <v>89</v>
      </c>
      <c r="G227">
        <v>272</v>
      </c>
      <c r="H227">
        <v>2</v>
      </c>
      <c r="I227">
        <v>0.05</v>
      </c>
      <c r="J227">
        <v>44</v>
      </c>
      <c r="K227" t="s">
        <v>18</v>
      </c>
      <c r="L227" s="1">
        <v>45205</v>
      </c>
      <c r="M227" s="2" t="str">
        <f>TEXT(working_data_2[[#This Row],[Date]], "mmm-yy")</f>
        <v>Oct-23</v>
      </c>
      <c r="N227" s="4">
        <f>IFERROR(working_data_2[[#This Row],[Profit]]/working_data_2[[#This Row],[Sales Amount]], 0)</f>
        <v>0.16176470588235295</v>
      </c>
    </row>
    <row r="228" spans="1:14" x14ac:dyDescent="0.3">
      <c r="A228" t="s">
        <v>1059</v>
      </c>
      <c r="B228" t="s">
        <v>1061</v>
      </c>
      <c r="C228" t="s">
        <v>1062</v>
      </c>
      <c r="D228" t="s">
        <v>122</v>
      </c>
      <c r="E228" t="s">
        <v>45</v>
      </c>
      <c r="F228" t="s">
        <v>95</v>
      </c>
      <c r="G228">
        <v>172</v>
      </c>
      <c r="H228">
        <v>1</v>
      </c>
      <c r="I228">
        <v>0</v>
      </c>
      <c r="J228">
        <v>39</v>
      </c>
      <c r="K228" t="s">
        <v>26</v>
      </c>
      <c r="L228" s="1">
        <v>45117</v>
      </c>
      <c r="M228" s="2" t="str">
        <f>TEXT(working_data_2[[#This Row],[Date]], "mmm-yy")</f>
        <v>Jul-23</v>
      </c>
      <c r="N228" s="4">
        <f>IFERROR(working_data_2[[#This Row],[Profit]]/working_data_2[[#This Row],[Sales Amount]], 0)</f>
        <v>0.22674418604651161</v>
      </c>
    </row>
    <row r="229" spans="1:14" x14ac:dyDescent="0.3">
      <c r="A229" t="s">
        <v>1063</v>
      </c>
      <c r="B229" t="s">
        <v>1065</v>
      </c>
      <c r="C229" t="s">
        <v>1066</v>
      </c>
      <c r="D229" t="s">
        <v>122</v>
      </c>
      <c r="E229" t="s">
        <v>32</v>
      </c>
      <c r="F229" t="s">
        <v>100</v>
      </c>
      <c r="G229">
        <v>222</v>
      </c>
      <c r="H229">
        <v>1</v>
      </c>
      <c r="I229">
        <v>0.1</v>
      </c>
      <c r="J229">
        <v>34</v>
      </c>
      <c r="K229" t="s">
        <v>18</v>
      </c>
      <c r="L229" s="1">
        <v>45148</v>
      </c>
      <c r="M229" s="2" t="str">
        <f>TEXT(working_data_2[[#This Row],[Date]], "mmm-yy")</f>
        <v>Aug-23</v>
      </c>
      <c r="N229" s="4">
        <f>IFERROR(working_data_2[[#This Row],[Profit]]/working_data_2[[#This Row],[Sales Amount]], 0)</f>
        <v>0.15315315315315314</v>
      </c>
    </row>
    <row r="230" spans="1:14" x14ac:dyDescent="0.3">
      <c r="A230" t="s">
        <v>1067</v>
      </c>
      <c r="B230" t="s">
        <v>1069</v>
      </c>
      <c r="C230" t="s">
        <v>1070</v>
      </c>
      <c r="D230" t="s">
        <v>122</v>
      </c>
      <c r="E230" t="s">
        <v>16</v>
      </c>
      <c r="F230" t="s">
        <v>106</v>
      </c>
      <c r="G230">
        <v>222</v>
      </c>
      <c r="H230">
        <v>1</v>
      </c>
      <c r="I230">
        <v>0</v>
      </c>
      <c r="J230">
        <v>54</v>
      </c>
      <c r="K230" t="s">
        <v>26</v>
      </c>
      <c r="L230" s="1">
        <v>45208</v>
      </c>
      <c r="M230" s="2" t="str">
        <f>TEXT(working_data_2[[#This Row],[Date]], "mmm-yy")</f>
        <v>Oct-23</v>
      </c>
      <c r="N230" s="4">
        <f>IFERROR(working_data_2[[#This Row],[Profit]]/working_data_2[[#This Row],[Sales Amount]], 0)</f>
        <v>0.24324324324324326</v>
      </c>
    </row>
    <row r="231" spans="1:14" x14ac:dyDescent="0.3">
      <c r="A231" t="s">
        <v>1071</v>
      </c>
      <c r="B231" t="s">
        <v>1073</v>
      </c>
      <c r="C231" t="s">
        <v>1074</v>
      </c>
      <c r="D231" t="s">
        <v>122</v>
      </c>
      <c r="E231" t="s">
        <v>45</v>
      </c>
      <c r="F231" t="s">
        <v>112</v>
      </c>
      <c r="G231">
        <v>74</v>
      </c>
      <c r="H231">
        <v>2</v>
      </c>
      <c r="I231">
        <v>0.1</v>
      </c>
      <c r="J231">
        <v>18</v>
      </c>
      <c r="K231" t="s">
        <v>18</v>
      </c>
      <c r="L231" s="1">
        <v>45209</v>
      </c>
      <c r="M231" s="2" t="str">
        <f>TEXT(working_data_2[[#This Row],[Date]], "mmm-yy")</f>
        <v>Oct-23</v>
      </c>
      <c r="N231" s="4">
        <f>IFERROR(working_data_2[[#This Row],[Profit]]/working_data_2[[#This Row],[Sales Amount]], 0)</f>
        <v>0.24324324324324326</v>
      </c>
    </row>
    <row r="232" spans="1:14" x14ac:dyDescent="0.3">
      <c r="A232" t="s">
        <v>1075</v>
      </c>
      <c r="B232" t="s">
        <v>1077</v>
      </c>
      <c r="C232" t="s">
        <v>2004</v>
      </c>
      <c r="D232" t="s">
        <v>122</v>
      </c>
      <c r="E232" t="s">
        <v>32</v>
      </c>
      <c r="F232" t="s">
        <v>117</v>
      </c>
      <c r="G232">
        <v>1140</v>
      </c>
      <c r="H232">
        <v>1</v>
      </c>
      <c r="I232">
        <v>0.2</v>
      </c>
      <c r="J232">
        <v>172</v>
      </c>
      <c r="K232" t="s">
        <v>26</v>
      </c>
      <c r="L232" s="1">
        <v>45240</v>
      </c>
      <c r="M232" s="2" t="str">
        <f>TEXT(working_data_2[[#This Row],[Date]], "mmm-yy")</f>
        <v>Nov-23</v>
      </c>
      <c r="N232" s="4">
        <f>IFERROR(working_data_2[[#This Row],[Profit]]/working_data_2[[#This Row],[Sales Amount]], 0)</f>
        <v>0.15087719298245614</v>
      </c>
    </row>
    <row r="233" spans="1:14" x14ac:dyDescent="0.3">
      <c r="A233" t="s">
        <v>1078</v>
      </c>
      <c r="B233" t="s">
        <v>1080</v>
      </c>
      <c r="C233" t="s">
        <v>1081</v>
      </c>
      <c r="D233" t="s">
        <v>122</v>
      </c>
      <c r="E233" t="s">
        <v>16</v>
      </c>
      <c r="F233" t="s">
        <v>123</v>
      </c>
      <c r="G233">
        <v>740</v>
      </c>
      <c r="H233">
        <v>1</v>
      </c>
      <c r="I233">
        <v>0</v>
      </c>
      <c r="J233">
        <v>102</v>
      </c>
      <c r="K233" t="s">
        <v>18</v>
      </c>
      <c r="L233" s="1">
        <v>45211</v>
      </c>
      <c r="M233" s="2" t="str">
        <f>TEXT(working_data_2[[#This Row],[Date]], "mmm-yy")</f>
        <v>Oct-23</v>
      </c>
      <c r="N233" s="4">
        <f>IFERROR(working_data_2[[#This Row],[Profit]]/working_data_2[[#This Row],[Sales Amount]], 0)</f>
        <v>0.13783783783783785</v>
      </c>
    </row>
    <row r="234" spans="1:14" x14ac:dyDescent="0.3">
      <c r="A234" t="s">
        <v>1082</v>
      </c>
      <c r="B234" t="s">
        <v>1084</v>
      </c>
      <c r="C234" t="s">
        <v>1085</v>
      </c>
      <c r="D234" t="s">
        <v>122</v>
      </c>
      <c r="E234" t="s">
        <v>45</v>
      </c>
      <c r="F234" t="s">
        <v>129</v>
      </c>
      <c r="G234">
        <v>44</v>
      </c>
      <c r="H234">
        <v>3</v>
      </c>
      <c r="I234">
        <v>0</v>
      </c>
      <c r="J234">
        <v>12</v>
      </c>
      <c r="K234" t="s">
        <v>26</v>
      </c>
      <c r="L234" s="1">
        <v>45212</v>
      </c>
      <c r="M234" s="2" t="str">
        <f>TEXT(working_data_2[[#This Row],[Date]], "mmm-yy")</f>
        <v>Oct-23</v>
      </c>
      <c r="N234" s="4">
        <f>IFERROR(working_data_2[[#This Row],[Profit]]/working_data_2[[#This Row],[Sales Amount]], 0)</f>
        <v>0.27272727272727271</v>
      </c>
    </row>
    <row r="235" spans="1:14" x14ac:dyDescent="0.3">
      <c r="A235" t="s">
        <v>1089</v>
      </c>
      <c r="B235" t="s">
        <v>1091</v>
      </c>
      <c r="C235" t="s">
        <v>1092</v>
      </c>
      <c r="D235" t="s">
        <v>122</v>
      </c>
      <c r="E235" t="s">
        <v>16</v>
      </c>
      <c r="F235" t="s">
        <v>141</v>
      </c>
      <c r="G235">
        <v>94</v>
      </c>
      <c r="H235">
        <v>2</v>
      </c>
      <c r="I235">
        <v>0.1</v>
      </c>
      <c r="J235">
        <v>27</v>
      </c>
      <c r="K235" t="s">
        <v>26</v>
      </c>
      <c r="L235" s="1">
        <v>45214</v>
      </c>
      <c r="M235" s="2" t="str">
        <f>TEXT(working_data_2[[#This Row],[Date]], "mmm-yy")</f>
        <v>Oct-23</v>
      </c>
      <c r="N235" s="4">
        <f>IFERROR(working_data_2[[#This Row],[Profit]]/working_data_2[[#This Row],[Sales Amount]], 0)</f>
        <v>0.28723404255319152</v>
      </c>
    </row>
    <row r="236" spans="1:14" x14ac:dyDescent="0.3">
      <c r="A236" t="s">
        <v>1093</v>
      </c>
      <c r="B236" t="s">
        <v>457</v>
      </c>
      <c r="C236" t="s">
        <v>1095</v>
      </c>
      <c r="D236" t="s">
        <v>122</v>
      </c>
      <c r="E236" t="s">
        <v>45</v>
      </c>
      <c r="F236" t="s">
        <v>146</v>
      </c>
      <c r="G236">
        <v>27</v>
      </c>
      <c r="H236">
        <v>5</v>
      </c>
      <c r="I236">
        <v>0</v>
      </c>
      <c r="J236">
        <v>12</v>
      </c>
      <c r="K236" t="s">
        <v>18</v>
      </c>
      <c r="L236" s="1"/>
      <c r="M236" s="2" t="str">
        <f>TEXT(working_data_2[[#This Row],[Date]], "mmm-yy")</f>
        <v>Jan-00</v>
      </c>
      <c r="N236" s="4">
        <f>IFERROR(working_data_2[[#This Row],[Profit]]/working_data_2[[#This Row],[Sales Amount]], 0)</f>
        <v>0.44444444444444442</v>
      </c>
    </row>
    <row r="237" spans="1:14" x14ac:dyDescent="0.3">
      <c r="A237" t="s">
        <v>1096</v>
      </c>
      <c r="B237" t="s">
        <v>1098</v>
      </c>
      <c r="C237" t="s">
        <v>1099</v>
      </c>
      <c r="D237" t="s">
        <v>122</v>
      </c>
      <c r="E237" t="s">
        <v>32</v>
      </c>
      <c r="F237" t="s">
        <v>152</v>
      </c>
      <c r="G237">
        <v>54</v>
      </c>
      <c r="H237">
        <v>4</v>
      </c>
      <c r="I237">
        <v>0</v>
      </c>
      <c r="J237">
        <v>18</v>
      </c>
      <c r="K237" t="s">
        <v>26</v>
      </c>
      <c r="L237" s="1">
        <v>45216</v>
      </c>
      <c r="M237" s="2" t="str">
        <f>TEXT(working_data_2[[#This Row],[Date]], "mmm-yy")</f>
        <v>Oct-23</v>
      </c>
      <c r="N237" s="4">
        <f>IFERROR(working_data_2[[#This Row],[Profit]]/working_data_2[[#This Row],[Sales Amount]], 0)</f>
        <v>0.33333333333333331</v>
      </c>
    </row>
    <row r="238" spans="1:14" x14ac:dyDescent="0.3">
      <c r="A238" t="s">
        <v>1100</v>
      </c>
      <c r="B238" t="s">
        <v>1102</v>
      </c>
      <c r="C238" t="s">
        <v>1103</v>
      </c>
      <c r="D238" t="s">
        <v>122</v>
      </c>
      <c r="E238" t="s">
        <v>16</v>
      </c>
      <c r="F238" t="s">
        <v>158</v>
      </c>
      <c r="G238">
        <v>64</v>
      </c>
      <c r="H238">
        <v>2</v>
      </c>
      <c r="I238">
        <v>0</v>
      </c>
      <c r="J238">
        <v>18</v>
      </c>
      <c r="K238" t="s">
        <v>18</v>
      </c>
      <c r="L238" s="1">
        <v>45217</v>
      </c>
      <c r="M238" s="2" t="str">
        <f>TEXT(working_data_2[[#This Row],[Date]], "mmm-yy")</f>
        <v>Oct-23</v>
      </c>
      <c r="N238" s="4">
        <f>IFERROR(working_data_2[[#This Row],[Profit]]/working_data_2[[#This Row],[Sales Amount]], 0)</f>
        <v>0.28125</v>
      </c>
    </row>
    <row r="239" spans="1:14" x14ac:dyDescent="0.3">
      <c r="A239" t="s">
        <v>1104</v>
      </c>
      <c r="B239" t="s">
        <v>1106</v>
      </c>
      <c r="C239" t="s">
        <v>2004</v>
      </c>
      <c r="D239" t="s">
        <v>122</v>
      </c>
      <c r="E239" t="s">
        <v>45</v>
      </c>
      <c r="F239" t="s">
        <v>163</v>
      </c>
      <c r="G239">
        <v>34</v>
      </c>
      <c r="H239">
        <v>1</v>
      </c>
      <c r="I239">
        <v>0</v>
      </c>
      <c r="J239">
        <v>12</v>
      </c>
      <c r="K239" t="s">
        <v>26</v>
      </c>
      <c r="L239" s="1"/>
      <c r="M239" s="2" t="str">
        <f>TEXT(working_data_2[[#This Row],[Date]], "mmm-yy")</f>
        <v>Jan-00</v>
      </c>
      <c r="N239" s="4">
        <f>IFERROR(working_data_2[[#This Row],[Profit]]/working_data_2[[#This Row],[Sales Amount]], 0)</f>
        <v>0.35294117647058826</v>
      </c>
    </row>
    <row r="240" spans="1:14" x14ac:dyDescent="0.3">
      <c r="A240" t="s">
        <v>1107</v>
      </c>
      <c r="B240" t="s">
        <v>1109</v>
      </c>
      <c r="C240" t="s">
        <v>1110</v>
      </c>
      <c r="D240" t="s">
        <v>122</v>
      </c>
      <c r="E240" t="s">
        <v>32</v>
      </c>
      <c r="F240" t="s">
        <v>168</v>
      </c>
      <c r="G240">
        <v>74</v>
      </c>
      <c r="H240">
        <v>2</v>
      </c>
      <c r="I240">
        <v>0.1</v>
      </c>
      <c r="J240">
        <v>18</v>
      </c>
      <c r="K240" t="s">
        <v>18</v>
      </c>
      <c r="L240" s="1">
        <v>45219</v>
      </c>
      <c r="M240" s="2" t="str">
        <f>TEXT(working_data_2[[#This Row],[Date]], "mmm-yy")</f>
        <v>Oct-23</v>
      </c>
      <c r="N240" s="4">
        <f>IFERROR(working_data_2[[#This Row],[Profit]]/working_data_2[[#This Row],[Sales Amount]], 0)</f>
        <v>0.24324324324324326</v>
      </c>
    </row>
    <row r="241" spans="1:14" x14ac:dyDescent="0.3">
      <c r="A241" t="s">
        <v>1111</v>
      </c>
      <c r="B241" t="s">
        <v>1113</v>
      </c>
      <c r="C241" t="s">
        <v>1114</v>
      </c>
      <c r="D241" t="s">
        <v>122</v>
      </c>
      <c r="E241" t="s">
        <v>16</v>
      </c>
      <c r="F241" t="s">
        <v>174</v>
      </c>
      <c r="G241">
        <v>39</v>
      </c>
      <c r="H241">
        <v>3</v>
      </c>
      <c r="I241">
        <v>0</v>
      </c>
      <c r="J241">
        <v>12</v>
      </c>
      <c r="K241" t="s">
        <v>26</v>
      </c>
      <c r="L241" s="1"/>
      <c r="M241" s="2" t="str">
        <f>TEXT(working_data_2[[#This Row],[Date]], "mmm-yy")</f>
        <v>Jan-00</v>
      </c>
      <c r="N241" s="4">
        <f>IFERROR(working_data_2[[#This Row],[Profit]]/working_data_2[[#This Row],[Sales Amount]], 0)</f>
        <v>0.30769230769230771</v>
      </c>
    </row>
    <row r="242" spans="1:14" x14ac:dyDescent="0.3">
      <c r="A242" t="s">
        <v>1115</v>
      </c>
      <c r="B242" t="s">
        <v>1968</v>
      </c>
      <c r="C242" t="s">
        <v>127</v>
      </c>
      <c r="D242" t="s">
        <v>128</v>
      </c>
      <c r="E242" t="s">
        <v>16</v>
      </c>
      <c r="F242" t="s">
        <v>17</v>
      </c>
      <c r="G242">
        <v>1260</v>
      </c>
      <c r="H242">
        <v>1</v>
      </c>
      <c r="I242">
        <v>0.1</v>
      </c>
      <c r="J242">
        <v>164</v>
      </c>
      <c r="K242" t="s">
        <v>18</v>
      </c>
      <c r="L242" s="1"/>
      <c r="M242" s="2" t="str">
        <f>TEXT(working_data_2[[#This Row],[Date]], "mmm-yy")</f>
        <v>Jan-00</v>
      </c>
      <c r="N242" s="4">
        <f>IFERROR(working_data_2[[#This Row],[Profit]]/working_data_2[[#This Row],[Sales Amount]], 0)</f>
        <v>0.13015873015873017</v>
      </c>
    </row>
    <row r="243" spans="1:14" x14ac:dyDescent="0.3">
      <c r="A243" t="s">
        <v>1118</v>
      </c>
      <c r="B243" t="s">
        <v>1969</v>
      </c>
      <c r="C243" t="s">
        <v>1121</v>
      </c>
      <c r="D243" t="s">
        <v>128</v>
      </c>
      <c r="E243" t="s">
        <v>45</v>
      </c>
      <c r="F243" t="s">
        <v>25</v>
      </c>
      <c r="G243">
        <v>32</v>
      </c>
      <c r="H243">
        <v>2</v>
      </c>
      <c r="I243">
        <v>0</v>
      </c>
      <c r="J243">
        <v>17</v>
      </c>
      <c r="K243" t="s">
        <v>26</v>
      </c>
      <c r="L243" s="1">
        <v>45222</v>
      </c>
      <c r="M243" s="2" t="str">
        <f>TEXT(working_data_2[[#This Row],[Date]], "mmm-yy")</f>
        <v>Oct-23</v>
      </c>
      <c r="N243" s="4">
        <f>IFERROR(working_data_2[[#This Row],[Profit]]/working_data_2[[#This Row],[Sales Amount]], 0)</f>
        <v>0.53125</v>
      </c>
    </row>
    <row r="244" spans="1:14" x14ac:dyDescent="0.3">
      <c r="A244" t="s">
        <v>1125</v>
      </c>
      <c r="B244" t="s">
        <v>1970</v>
      </c>
      <c r="C244" t="s">
        <v>1128</v>
      </c>
      <c r="D244" t="s">
        <v>128</v>
      </c>
      <c r="E244" t="s">
        <v>16</v>
      </c>
      <c r="F244" t="s">
        <v>39</v>
      </c>
      <c r="G244">
        <v>940</v>
      </c>
      <c r="H244">
        <v>1</v>
      </c>
      <c r="I244">
        <v>0.05</v>
      </c>
      <c r="J244">
        <v>124</v>
      </c>
      <c r="K244" t="s">
        <v>18</v>
      </c>
      <c r="L244" s="1"/>
      <c r="M244" s="2" t="str">
        <f>TEXT(working_data_2[[#This Row],[Date]], "mmm-yy")</f>
        <v>Jan-00</v>
      </c>
      <c r="N244" s="4">
        <f>IFERROR(working_data_2[[#This Row],[Profit]]/working_data_2[[#This Row],[Sales Amount]], 0)</f>
        <v>0.13191489361702127</v>
      </c>
    </row>
    <row r="245" spans="1:14" x14ac:dyDescent="0.3">
      <c r="A245" t="s">
        <v>1129</v>
      </c>
      <c r="B245" t="s">
        <v>1131</v>
      </c>
      <c r="C245" t="s">
        <v>1132</v>
      </c>
      <c r="D245" t="s">
        <v>128</v>
      </c>
      <c r="E245" t="s">
        <v>45</v>
      </c>
      <c r="F245" t="s">
        <v>46</v>
      </c>
      <c r="G245">
        <v>66</v>
      </c>
      <c r="H245">
        <v>3</v>
      </c>
      <c r="I245">
        <v>0</v>
      </c>
      <c r="J245">
        <v>29</v>
      </c>
      <c r="K245" t="s">
        <v>26</v>
      </c>
      <c r="L245" s="1"/>
      <c r="M245" s="2" t="str">
        <f>TEXT(working_data_2[[#This Row],[Date]], "mmm-yy")</f>
        <v>Jan-00</v>
      </c>
      <c r="N245" s="4">
        <f>IFERROR(working_data_2[[#This Row],[Profit]]/working_data_2[[#This Row],[Sales Amount]], 0)</f>
        <v>0.43939393939393939</v>
      </c>
    </row>
    <row r="246" spans="1:14" x14ac:dyDescent="0.3">
      <c r="A246" t="s">
        <v>1133</v>
      </c>
      <c r="B246" t="s">
        <v>1135</v>
      </c>
      <c r="C246" t="s">
        <v>862</v>
      </c>
      <c r="D246" t="s">
        <v>128</v>
      </c>
      <c r="E246" t="s">
        <v>32</v>
      </c>
      <c r="F246" t="s">
        <v>53</v>
      </c>
      <c r="G246">
        <v>174</v>
      </c>
      <c r="H246">
        <v>4</v>
      </c>
      <c r="I246">
        <v>0.1</v>
      </c>
      <c r="J246">
        <v>32</v>
      </c>
      <c r="K246" t="s">
        <v>26</v>
      </c>
      <c r="L246" s="1">
        <v>45226</v>
      </c>
      <c r="M246" s="2" t="str">
        <f>TEXT(working_data_2[[#This Row],[Date]], "mmm-yy")</f>
        <v>Oct-23</v>
      </c>
      <c r="N246" s="4">
        <f>IFERROR(working_data_2[[#This Row],[Profit]]/working_data_2[[#This Row],[Sales Amount]], 0)</f>
        <v>0.18390804597701149</v>
      </c>
    </row>
    <row r="247" spans="1:14" x14ac:dyDescent="0.3">
      <c r="A247" t="s">
        <v>1136</v>
      </c>
      <c r="B247" t="s">
        <v>1138</v>
      </c>
      <c r="C247" t="s">
        <v>1139</v>
      </c>
      <c r="D247" t="s">
        <v>128</v>
      </c>
      <c r="E247" t="s">
        <v>16</v>
      </c>
      <c r="F247" t="s">
        <v>59</v>
      </c>
      <c r="G247">
        <v>324</v>
      </c>
      <c r="H247">
        <v>2</v>
      </c>
      <c r="I247">
        <v>0</v>
      </c>
      <c r="J247">
        <v>56</v>
      </c>
      <c r="K247" t="s">
        <v>18</v>
      </c>
      <c r="L247" s="1"/>
      <c r="M247" s="2" t="str">
        <f>TEXT(working_data_2[[#This Row],[Date]], "mmm-yy")</f>
        <v>Jan-00</v>
      </c>
      <c r="N247" s="4">
        <f>IFERROR(working_data_2[[#This Row],[Profit]]/working_data_2[[#This Row],[Sales Amount]], 0)</f>
        <v>0.1728395061728395</v>
      </c>
    </row>
    <row r="248" spans="1:14" x14ac:dyDescent="0.3">
      <c r="A248" t="s">
        <v>1140</v>
      </c>
      <c r="B248" t="s">
        <v>1142</v>
      </c>
      <c r="C248" t="s">
        <v>2004</v>
      </c>
      <c r="D248" t="s">
        <v>128</v>
      </c>
      <c r="E248" t="s">
        <v>45</v>
      </c>
      <c r="F248" t="s">
        <v>63</v>
      </c>
      <c r="G248">
        <v>94</v>
      </c>
      <c r="H248">
        <v>1</v>
      </c>
      <c r="I248">
        <v>0.2</v>
      </c>
      <c r="J248">
        <v>29</v>
      </c>
      <c r="K248" t="s">
        <v>26</v>
      </c>
      <c r="L248" s="1"/>
      <c r="M248" s="2" t="str">
        <f>TEXT(working_data_2[[#This Row],[Date]], "mmm-yy")</f>
        <v>Jan-00</v>
      </c>
      <c r="N248" s="4">
        <f>IFERROR(working_data_2[[#This Row],[Profit]]/working_data_2[[#This Row],[Sales Amount]], 0)</f>
        <v>0.30851063829787234</v>
      </c>
    </row>
    <row r="249" spans="1:14" x14ac:dyDescent="0.3">
      <c r="A249" t="s">
        <v>1143</v>
      </c>
      <c r="B249" t="s">
        <v>1145</v>
      </c>
      <c r="C249" t="s">
        <v>1146</v>
      </c>
      <c r="D249" t="s">
        <v>128</v>
      </c>
      <c r="E249" t="s">
        <v>32</v>
      </c>
      <c r="F249" t="s">
        <v>68</v>
      </c>
      <c r="G249">
        <v>1040</v>
      </c>
      <c r="H249">
        <v>1</v>
      </c>
      <c r="I249">
        <v>0.15</v>
      </c>
      <c r="J249">
        <v>124</v>
      </c>
      <c r="K249" t="s">
        <v>18</v>
      </c>
      <c r="L249" s="1">
        <v>45229</v>
      </c>
      <c r="M249" s="2" t="str">
        <f>TEXT(working_data_2[[#This Row],[Date]], "mmm-yy")</f>
        <v>Oct-23</v>
      </c>
      <c r="N249" s="4">
        <f>IFERROR(working_data_2[[#This Row],[Profit]]/working_data_2[[#This Row],[Sales Amount]], 0)</f>
        <v>0.11923076923076924</v>
      </c>
    </row>
    <row r="250" spans="1:14" x14ac:dyDescent="0.3">
      <c r="A250" t="s">
        <v>1155</v>
      </c>
      <c r="B250" t="s">
        <v>1157</v>
      </c>
      <c r="C250" t="s">
        <v>1158</v>
      </c>
      <c r="D250" t="s">
        <v>128</v>
      </c>
      <c r="E250" t="s">
        <v>32</v>
      </c>
      <c r="F250" t="s">
        <v>84</v>
      </c>
      <c r="G250">
        <v>374</v>
      </c>
      <c r="H250">
        <v>1</v>
      </c>
      <c r="I250">
        <v>0.1</v>
      </c>
      <c r="J250">
        <v>56</v>
      </c>
      <c r="K250" t="s">
        <v>26</v>
      </c>
      <c r="L250" s="1">
        <v>45232</v>
      </c>
      <c r="M250" s="2" t="str">
        <f>TEXT(working_data_2[[#This Row],[Date]], "mmm-yy")</f>
        <v>Nov-23</v>
      </c>
      <c r="N250" s="4">
        <f>IFERROR(working_data_2[[#This Row],[Profit]]/working_data_2[[#This Row],[Sales Amount]], 0)</f>
        <v>0.1497326203208556</v>
      </c>
    </row>
    <row r="251" spans="1:14" x14ac:dyDescent="0.3">
      <c r="A251" t="s">
        <v>1159</v>
      </c>
      <c r="B251" t="s">
        <v>1161</v>
      </c>
      <c r="C251" t="s">
        <v>1162</v>
      </c>
      <c r="D251" t="s">
        <v>128</v>
      </c>
      <c r="E251" t="s">
        <v>16</v>
      </c>
      <c r="F251" t="s">
        <v>89</v>
      </c>
      <c r="G251">
        <v>274</v>
      </c>
      <c r="H251">
        <v>2</v>
      </c>
      <c r="I251">
        <v>0.05</v>
      </c>
      <c r="J251">
        <v>46</v>
      </c>
      <c r="K251" t="s">
        <v>18</v>
      </c>
      <c r="L251" s="1">
        <v>45233</v>
      </c>
      <c r="M251" s="2" t="str">
        <f>TEXT(working_data_2[[#This Row],[Date]], "mmm-yy")</f>
        <v>Nov-23</v>
      </c>
      <c r="N251" s="4">
        <f>IFERROR(working_data_2[[#This Row],[Profit]]/working_data_2[[#This Row],[Sales Amount]], 0)</f>
        <v>0.16788321167883211</v>
      </c>
    </row>
    <row r="252" spans="1:14" x14ac:dyDescent="0.3">
      <c r="A252" t="s">
        <v>1163</v>
      </c>
      <c r="B252" t="s">
        <v>1165</v>
      </c>
      <c r="C252" t="s">
        <v>1166</v>
      </c>
      <c r="D252" t="s">
        <v>128</v>
      </c>
      <c r="E252" t="s">
        <v>45</v>
      </c>
      <c r="F252" t="s">
        <v>95</v>
      </c>
      <c r="G252">
        <v>174</v>
      </c>
      <c r="H252">
        <v>1</v>
      </c>
      <c r="I252">
        <v>0</v>
      </c>
      <c r="J252">
        <v>41</v>
      </c>
      <c r="K252" t="s">
        <v>26</v>
      </c>
      <c r="L252" s="1">
        <v>45027</v>
      </c>
      <c r="M252" s="2" t="str">
        <f>TEXT(working_data_2[[#This Row],[Date]], "mmm-yy")</f>
        <v>Apr-23</v>
      </c>
      <c r="N252" s="4">
        <f>IFERROR(working_data_2[[#This Row],[Profit]]/working_data_2[[#This Row],[Sales Amount]], 0)</f>
        <v>0.23563218390804597</v>
      </c>
    </row>
    <row r="253" spans="1:14" x14ac:dyDescent="0.3">
      <c r="A253" t="s">
        <v>1167</v>
      </c>
      <c r="B253" t="s">
        <v>1169</v>
      </c>
      <c r="C253" t="s">
        <v>1170</v>
      </c>
      <c r="D253" t="s">
        <v>128</v>
      </c>
      <c r="E253" t="s">
        <v>32</v>
      </c>
      <c r="F253" t="s">
        <v>100</v>
      </c>
      <c r="G253">
        <v>224</v>
      </c>
      <c r="H253">
        <v>1</v>
      </c>
      <c r="I253">
        <v>0.1</v>
      </c>
      <c r="J253">
        <v>36</v>
      </c>
      <c r="K253" t="s">
        <v>18</v>
      </c>
      <c r="L253" s="1">
        <v>45057</v>
      </c>
      <c r="M253" s="2" t="str">
        <f>TEXT(working_data_2[[#This Row],[Date]], "mmm-yy")</f>
        <v>May-23</v>
      </c>
      <c r="N253" s="4">
        <f>IFERROR(working_data_2[[#This Row],[Profit]]/working_data_2[[#This Row],[Sales Amount]], 0)</f>
        <v>0.16071428571428573</v>
      </c>
    </row>
    <row r="254" spans="1:14" x14ac:dyDescent="0.3">
      <c r="A254" t="s">
        <v>1171</v>
      </c>
      <c r="B254" t="s">
        <v>1173</v>
      </c>
      <c r="C254" t="s">
        <v>1174</v>
      </c>
      <c r="D254" t="s">
        <v>128</v>
      </c>
      <c r="E254" t="s">
        <v>16</v>
      </c>
      <c r="F254" t="s">
        <v>106</v>
      </c>
      <c r="G254">
        <v>224</v>
      </c>
      <c r="H254">
        <v>1</v>
      </c>
      <c r="I254">
        <v>0</v>
      </c>
      <c r="J254">
        <v>56</v>
      </c>
      <c r="K254" t="s">
        <v>26</v>
      </c>
      <c r="L254" s="1">
        <v>45236</v>
      </c>
      <c r="M254" s="2" t="str">
        <f>TEXT(working_data_2[[#This Row],[Date]], "mmm-yy")</f>
        <v>Nov-23</v>
      </c>
      <c r="N254" s="4">
        <f>IFERROR(working_data_2[[#This Row],[Profit]]/working_data_2[[#This Row],[Sales Amount]], 0)</f>
        <v>0.25</v>
      </c>
    </row>
    <row r="255" spans="1:14" x14ac:dyDescent="0.3">
      <c r="A255" t="s">
        <v>1175</v>
      </c>
      <c r="B255" t="s">
        <v>1177</v>
      </c>
      <c r="C255" t="s">
        <v>1178</v>
      </c>
      <c r="D255" t="s">
        <v>128</v>
      </c>
      <c r="E255" t="s">
        <v>45</v>
      </c>
      <c r="F255" t="s">
        <v>112</v>
      </c>
      <c r="G255">
        <v>76</v>
      </c>
      <c r="H255">
        <v>2</v>
      </c>
      <c r="I255">
        <v>0.1</v>
      </c>
      <c r="J255">
        <v>19</v>
      </c>
      <c r="K255" t="s">
        <v>18</v>
      </c>
      <c r="L255" s="1">
        <v>45118</v>
      </c>
      <c r="M255" s="2" t="str">
        <f>TEXT(working_data_2[[#This Row],[Date]], "mmm-yy")</f>
        <v>Jul-23</v>
      </c>
      <c r="N255" s="4">
        <f>IFERROR(working_data_2[[#This Row],[Profit]]/working_data_2[[#This Row],[Sales Amount]], 0)</f>
        <v>0.25</v>
      </c>
    </row>
    <row r="256" spans="1:14" x14ac:dyDescent="0.3">
      <c r="A256" t="s">
        <v>1179</v>
      </c>
      <c r="B256" t="s">
        <v>1181</v>
      </c>
      <c r="C256" t="s">
        <v>2004</v>
      </c>
      <c r="D256" t="s">
        <v>128</v>
      </c>
      <c r="E256" t="s">
        <v>32</v>
      </c>
      <c r="F256" t="s">
        <v>117</v>
      </c>
      <c r="G256">
        <v>1160</v>
      </c>
      <c r="H256">
        <v>1</v>
      </c>
      <c r="I256">
        <v>0.2</v>
      </c>
      <c r="J256">
        <v>174</v>
      </c>
      <c r="K256" t="s">
        <v>26</v>
      </c>
      <c r="L256" s="1">
        <v>45149</v>
      </c>
      <c r="M256" s="2" t="str">
        <f>TEXT(working_data_2[[#This Row],[Date]], "mmm-yy")</f>
        <v>Aug-23</v>
      </c>
      <c r="N256" s="4">
        <f>IFERROR(working_data_2[[#This Row],[Profit]]/working_data_2[[#This Row],[Sales Amount]], 0)</f>
        <v>0.15</v>
      </c>
    </row>
    <row r="257" spans="1:14" x14ac:dyDescent="0.3">
      <c r="A257" t="s">
        <v>1182</v>
      </c>
      <c r="B257" t="s">
        <v>1184</v>
      </c>
      <c r="C257" t="s">
        <v>1185</v>
      </c>
      <c r="D257" t="s">
        <v>128</v>
      </c>
      <c r="E257" t="s">
        <v>16</v>
      </c>
      <c r="F257" t="s">
        <v>123</v>
      </c>
      <c r="G257">
        <v>760</v>
      </c>
      <c r="H257">
        <v>1</v>
      </c>
      <c r="I257">
        <v>0</v>
      </c>
      <c r="J257">
        <v>104</v>
      </c>
      <c r="K257" t="s">
        <v>18</v>
      </c>
      <c r="L257" s="1">
        <v>45239</v>
      </c>
      <c r="M257" s="2" t="str">
        <f>TEXT(working_data_2[[#This Row],[Date]], "mmm-yy")</f>
        <v>Nov-23</v>
      </c>
      <c r="N257" s="4">
        <f>IFERROR(working_data_2[[#This Row],[Profit]]/working_data_2[[#This Row],[Sales Amount]], 0)</f>
        <v>0.1368421052631579</v>
      </c>
    </row>
    <row r="258" spans="1:14" x14ac:dyDescent="0.3">
      <c r="A258" t="s">
        <v>1186</v>
      </c>
      <c r="B258" t="s">
        <v>1188</v>
      </c>
      <c r="C258" t="s">
        <v>1189</v>
      </c>
      <c r="D258" t="s">
        <v>128</v>
      </c>
      <c r="E258" t="s">
        <v>45</v>
      </c>
      <c r="F258" t="s">
        <v>129</v>
      </c>
      <c r="G258">
        <v>46</v>
      </c>
      <c r="H258">
        <v>3</v>
      </c>
      <c r="I258">
        <v>0</v>
      </c>
      <c r="J258">
        <v>13</v>
      </c>
      <c r="K258" t="s">
        <v>26</v>
      </c>
      <c r="L258" s="1">
        <v>45240</v>
      </c>
      <c r="M258" s="2" t="str">
        <f>TEXT(working_data_2[[#This Row],[Date]], "mmm-yy")</f>
        <v>Nov-23</v>
      </c>
      <c r="N258" s="4">
        <f>IFERROR(working_data_2[[#This Row],[Profit]]/working_data_2[[#This Row],[Sales Amount]], 0)</f>
        <v>0.28260869565217389</v>
      </c>
    </row>
    <row r="259" spans="1:14" x14ac:dyDescent="0.3">
      <c r="A259" t="s">
        <v>1194</v>
      </c>
      <c r="B259" t="s">
        <v>1196</v>
      </c>
      <c r="C259" t="s">
        <v>1197</v>
      </c>
      <c r="D259" t="s">
        <v>128</v>
      </c>
      <c r="E259" t="s">
        <v>16</v>
      </c>
      <c r="F259" t="s">
        <v>141</v>
      </c>
      <c r="G259">
        <v>96</v>
      </c>
      <c r="H259">
        <v>2</v>
      </c>
      <c r="I259">
        <v>0.1</v>
      </c>
      <c r="J259">
        <v>29</v>
      </c>
      <c r="K259" t="s">
        <v>26</v>
      </c>
      <c r="L259" s="1">
        <v>45242</v>
      </c>
      <c r="M259" s="2" t="str">
        <f>TEXT(working_data_2[[#This Row],[Date]], "mmm-yy")</f>
        <v>Nov-23</v>
      </c>
      <c r="N259" s="4">
        <f>IFERROR(working_data_2[[#This Row],[Profit]]/working_data_2[[#This Row],[Sales Amount]], 0)</f>
        <v>0.30208333333333331</v>
      </c>
    </row>
    <row r="260" spans="1:14" x14ac:dyDescent="0.3">
      <c r="A260" t="s">
        <v>1198</v>
      </c>
      <c r="B260" t="s">
        <v>1200</v>
      </c>
      <c r="C260" t="s">
        <v>1201</v>
      </c>
      <c r="D260" t="s">
        <v>128</v>
      </c>
      <c r="E260" t="s">
        <v>45</v>
      </c>
      <c r="F260" t="s">
        <v>146</v>
      </c>
      <c r="G260">
        <v>29</v>
      </c>
      <c r="H260">
        <v>5</v>
      </c>
      <c r="I260">
        <v>0</v>
      </c>
      <c r="J260">
        <v>13</v>
      </c>
      <c r="K260" t="s">
        <v>18</v>
      </c>
      <c r="L260" s="1"/>
      <c r="M260" s="2" t="str">
        <f>TEXT(working_data_2[[#This Row],[Date]], "mmm-yy")</f>
        <v>Jan-00</v>
      </c>
      <c r="N260" s="4">
        <f>IFERROR(working_data_2[[#This Row],[Profit]]/working_data_2[[#This Row],[Sales Amount]], 0)</f>
        <v>0.44827586206896552</v>
      </c>
    </row>
    <row r="261" spans="1:14" x14ac:dyDescent="0.3">
      <c r="A261" t="s">
        <v>1202</v>
      </c>
      <c r="B261" t="s">
        <v>1204</v>
      </c>
      <c r="C261" t="s">
        <v>1205</v>
      </c>
      <c r="D261" t="s">
        <v>128</v>
      </c>
      <c r="E261" t="s">
        <v>32</v>
      </c>
      <c r="F261" t="s">
        <v>152</v>
      </c>
      <c r="G261">
        <v>56</v>
      </c>
      <c r="H261">
        <v>4</v>
      </c>
      <c r="I261">
        <v>0</v>
      </c>
      <c r="J261">
        <v>19</v>
      </c>
      <c r="K261" t="s">
        <v>26</v>
      </c>
      <c r="L261" s="1">
        <v>45244</v>
      </c>
      <c r="M261" s="2" t="str">
        <f>TEXT(working_data_2[[#This Row],[Date]], "mmm-yy")</f>
        <v>Nov-23</v>
      </c>
      <c r="N261" s="4">
        <f>IFERROR(working_data_2[[#This Row],[Profit]]/working_data_2[[#This Row],[Sales Amount]], 0)</f>
        <v>0.3392857142857143</v>
      </c>
    </row>
    <row r="262" spans="1:14" x14ac:dyDescent="0.3">
      <c r="A262" t="s">
        <v>1206</v>
      </c>
      <c r="B262" t="s">
        <v>1208</v>
      </c>
      <c r="C262" t="s">
        <v>1209</v>
      </c>
      <c r="D262" t="s">
        <v>128</v>
      </c>
      <c r="E262" t="s">
        <v>16</v>
      </c>
      <c r="F262" t="s">
        <v>158</v>
      </c>
      <c r="G262">
        <v>66</v>
      </c>
      <c r="H262">
        <v>2</v>
      </c>
      <c r="I262">
        <v>0</v>
      </c>
      <c r="J262">
        <v>19</v>
      </c>
      <c r="K262" t="s">
        <v>18</v>
      </c>
      <c r="L262" s="1">
        <v>45245</v>
      </c>
      <c r="M262" s="2" t="str">
        <f>TEXT(working_data_2[[#This Row],[Date]], "mmm-yy")</f>
        <v>Nov-23</v>
      </c>
      <c r="N262" s="4">
        <f>IFERROR(working_data_2[[#This Row],[Profit]]/working_data_2[[#This Row],[Sales Amount]], 0)</f>
        <v>0.2878787878787879</v>
      </c>
    </row>
    <row r="263" spans="1:14" x14ac:dyDescent="0.3">
      <c r="A263" t="s">
        <v>1210</v>
      </c>
      <c r="B263" t="s">
        <v>1212</v>
      </c>
      <c r="C263" t="s">
        <v>2004</v>
      </c>
      <c r="D263" t="s">
        <v>128</v>
      </c>
      <c r="E263" t="s">
        <v>45</v>
      </c>
      <c r="F263" t="s">
        <v>163</v>
      </c>
      <c r="G263">
        <v>36</v>
      </c>
      <c r="H263">
        <v>1</v>
      </c>
      <c r="I263">
        <v>0</v>
      </c>
      <c r="J263">
        <v>13</v>
      </c>
      <c r="K263" t="s">
        <v>26</v>
      </c>
      <c r="L263" s="1"/>
      <c r="M263" s="2" t="str">
        <f>TEXT(working_data_2[[#This Row],[Date]], "mmm-yy")</f>
        <v>Jan-00</v>
      </c>
      <c r="N263" s="4">
        <f>IFERROR(working_data_2[[#This Row],[Profit]]/working_data_2[[#This Row],[Sales Amount]], 0)</f>
        <v>0.3611111111111111</v>
      </c>
    </row>
    <row r="264" spans="1:14" x14ac:dyDescent="0.3">
      <c r="A264" t="s">
        <v>1213</v>
      </c>
      <c r="B264" t="s">
        <v>1215</v>
      </c>
      <c r="C264" t="s">
        <v>1216</v>
      </c>
      <c r="D264" t="s">
        <v>128</v>
      </c>
      <c r="E264" t="s">
        <v>32</v>
      </c>
      <c r="F264" t="s">
        <v>168</v>
      </c>
      <c r="G264">
        <v>76</v>
      </c>
      <c r="H264">
        <v>2</v>
      </c>
      <c r="I264">
        <v>0.1</v>
      </c>
      <c r="J264">
        <v>19</v>
      </c>
      <c r="K264" t="s">
        <v>18</v>
      </c>
      <c r="L264" s="1">
        <v>45247</v>
      </c>
      <c r="M264" s="2" t="str">
        <f>TEXT(working_data_2[[#This Row],[Date]], "mmm-yy")</f>
        <v>Nov-23</v>
      </c>
      <c r="N264" s="4">
        <f>IFERROR(working_data_2[[#This Row],[Profit]]/working_data_2[[#This Row],[Sales Amount]], 0)</f>
        <v>0.25</v>
      </c>
    </row>
    <row r="265" spans="1:14" x14ac:dyDescent="0.3">
      <c r="A265" t="s">
        <v>1217</v>
      </c>
      <c r="B265" t="s">
        <v>278</v>
      </c>
      <c r="C265" t="s">
        <v>1219</v>
      </c>
      <c r="D265" t="s">
        <v>128</v>
      </c>
      <c r="E265" t="s">
        <v>16</v>
      </c>
      <c r="F265" t="s">
        <v>174</v>
      </c>
      <c r="G265">
        <v>41</v>
      </c>
      <c r="H265">
        <v>3</v>
      </c>
      <c r="I265">
        <v>0</v>
      </c>
      <c r="J265">
        <v>13</v>
      </c>
      <c r="K265" t="s">
        <v>26</v>
      </c>
      <c r="L265" s="1"/>
      <c r="M265" s="2" t="str">
        <f>TEXT(working_data_2[[#This Row],[Date]], "mmm-yy")</f>
        <v>Jan-00</v>
      </c>
      <c r="N265" s="4">
        <f>IFERROR(working_data_2[[#This Row],[Profit]]/working_data_2[[#This Row],[Sales Amount]], 0)</f>
        <v>0.31707317073170732</v>
      </c>
    </row>
    <row r="266" spans="1:14" x14ac:dyDescent="0.3">
      <c r="A266" t="s">
        <v>1220</v>
      </c>
      <c r="B266" t="s">
        <v>1972</v>
      </c>
      <c r="C266" t="s">
        <v>133</v>
      </c>
      <c r="D266" t="s">
        <v>134</v>
      </c>
      <c r="E266" t="s">
        <v>16</v>
      </c>
      <c r="F266" t="s">
        <v>17</v>
      </c>
      <c r="G266">
        <v>1270</v>
      </c>
      <c r="H266">
        <v>1</v>
      </c>
      <c r="I266">
        <v>0.1</v>
      </c>
      <c r="J266">
        <v>166</v>
      </c>
      <c r="K266" t="s">
        <v>18</v>
      </c>
      <c r="L266" s="1"/>
      <c r="M266" s="2" t="str">
        <f>TEXT(working_data_2[[#This Row],[Date]], "mmm-yy")</f>
        <v>Jan-00</v>
      </c>
      <c r="N266" s="4">
        <f>IFERROR(working_data_2[[#This Row],[Profit]]/working_data_2[[#This Row],[Sales Amount]], 0)</f>
        <v>0.13070866141732285</v>
      </c>
    </row>
    <row r="267" spans="1:14" x14ac:dyDescent="0.3">
      <c r="A267" t="s">
        <v>1223</v>
      </c>
      <c r="B267" t="s">
        <v>1973</v>
      </c>
      <c r="C267" t="s">
        <v>1226</v>
      </c>
      <c r="D267" t="s">
        <v>134</v>
      </c>
      <c r="E267" t="s">
        <v>45</v>
      </c>
      <c r="F267" t="s">
        <v>25</v>
      </c>
      <c r="G267">
        <v>33</v>
      </c>
      <c r="H267">
        <v>2</v>
      </c>
      <c r="I267">
        <v>0</v>
      </c>
      <c r="J267">
        <v>18</v>
      </c>
      <c r="K267" t="s">
        <v>26</v>
      </c>
      <c r="L267" s="1">
        <v>45250</v>
      </c>
      <c r="M267" s="2" t="str">
        <f>TEXT(working_data_2[[#This Row],[Date]], "mmm-yy")</f>
        <v>Nov-23</v>
      </c>
      <c r="N267" s="4">
        <f>IFERROR(working_data_2[[#This Row],[Profit]]/working_data_2[[#This Row],[Sales Amount]], 0)</f>
        <v>0.54545454545454541</v>
      </c>
    </row>
    <row r="268" spans="1:14" x14ac:dyDescent="0.3">
      <c r="A268" t="s">
        <v>1230</v>
      </c>
      <c r="B268" t="s">
        <v>1974</v>
      </c>
      <c r="C268" t="s">
        <v>133</v>
      </c>
      <c r="D268" t="s">
        <v>134</v>
      </c>
      <c r="E268" t="s">
        <v>16</v>
      </c>
      <c r="F268" t="s">
        <v>39</v>
      </c>
      <c r="G268">
        <v>960</v>
      </c>
      <c r="H268">
        <v>1</v>
      </c>
      <c r="I268">
        <v>0.05</v>
      </c>
      <c r="J268">
        <v>126</v>
      </c>
      <c r="K268" t="s">
        <v>18</v>
      </c>
      <c r="L268" s="1"/>
      <c r="M268" s="2" t="str">
        <f>TEXT(working_data_2[[#This Row],[Date]], "mmm-yy")</f>
        <v>Jan-00</v>
      </c>
      <c r="N268" s="4">
        <f>IFERROR(working_data_2[[#This Row],[Profit]]/working_data_2[[#This Row],[Sales Amount]], 0)</f>
        <v>0.13125000000000001</v>
      </c>
    </row>
    <row r="269" spans="1:14" x14ac:dyDescent="0.3">
      <c r="A269" t="s">
        <v>1233</v>
      </c>
      <c r="B269" t="s">
        <v>1235</v>
      </c>
      <c r="C269" t="s">
        <v>133</v>
      </c>
      <c r="D269" t="s">
        <v>134</v>
      </c>
      <c r="E269" t="s">
        <v>45</v>
      </c>
      <c r="F269" t="s">
        <v>46</v>
      </c>
      <c r="G269">
        <v>68</v>
      </c>
      <c r="H269">
        <v>3</v>
      </c>
      <c r="I269">
        <v>0</v>
      </c>
      <c r="J269">
        <v>31</v>
      </c>
      <c r="K269" t="s">
        <v>26</v>
      </c>
      <c r="L269" s="1"/>
      <c r="M269" s="2" t="str">
        <f>TEXT(working_data_2[[#This Row],[Date]], "mmm-yy")</f>
        <v>Jan-00</v>
      </c>
      <c r="N269" s="4">
        <f>IFERROR(working_data_2[[#This Row],[Profit]]/working_data_2[[#This Row],[Sales Amount]], 0)</f>
        <v>0.45588235294117646</v>
      </c>
    </row>
    <row r="270" spans="1:14" x14ac:dyDescent="0.3">
      <c r="A270" t="s">
        <v>1236</v>
      </c>
      <c r="B270" t="s">
        <v>1238</v>
      </c>
      <c r="C270" t="s">
        <v>133</v>
      </c>
      <c r="D270" t="s">
        <v>134</v>
      </c>
      <c r="E270" t="s">
        <v>32</v>
      </c>
      <c r="F270" t="s">
        <v>53</v>
      </c>
      <c r="G270">
        <v>176</v>
      </c>
      <c r="H270">
        <v>4</v>
      </c>
      <c r="I270">
        <v>0.1</v>
      </c>
      <c r="J270">
        <v>34</v>
      </c>
      <c r="K270" t="s">
        <v>26</v>
      </c>
      <c r="L270" s="1">
        <v>45254</v>
      </c>
      <c r="M270" s="2" t="str">
        <f>TEXT(working_data_2[[#This Row],[Date]], "mmm-yy")</f>
        <v>Nov-23</v>
      </c>
      <c r="N270" s="4">
        <f>IFERROR(working_data_2[[#This Row],[Profit]]/working_data_2[[#This Row],[Sales Amount]], 0)</f>
        <v>0.19318181818181818</v>
      </c>
    </row>
    <row r="271" spans="1:14" x14ac:dyDescent="0.3">
      <c r="A271" t="s">
        <v>1239</v>
      </c>
      <c r="B271" t="s">
        <v>1241</v>
      </c>
      <c r="C271" t="s">
        <v>133</v>
      </c>
      <c r="D271" t="s">
        <v>134</v>
      </c>
      <c r="E271" t="s">
        <v>16</v>
      </c>
      <c r="F271" t="s">
        <v>59</v>
      </c>
      <c r="G271">
        <v>326</v>
      </c>
      <c r="H271">
        <v>2</v>
      </c>
      <c r="I271">
        <v>0</v>
      </c>
      <c r="J271">
        <v>58</v>
      </c>
      <c r="K271" t="s">
        <v>18</v>
      </c>
      <c r="L271" s="1"/>
      <c r="M271" s="2" t="str">
        <f>TEXT(working_data_2[[#This Row],[Date]], "mmm-yy")</f>
        <v>Jan-00</v>
      </c>
      <c r="N271" s="4">
        <f>IFERROR(working_data_2[[#This Row],[Profit]]/working_data_2[[#This Row],[Sales Amount]], 0)</f>
        <v>0.17791411042944785</v>
      </c>
    </row>
    <row r="272" spans="1:14" x14ac:dyDescent="0.3">
      <c r="A272" t="s">
        <v>1242</v>
      </c>
      <c r="B272" t="s">
        <v>1244</v>
      </c>
      <c r="C272" t="s">
        <v>2004</v>
      </c>
      <c r="D272" t="s">
        <v>134</v>
      </c>
      <c r="E272" t="s">
        <v>45</v>
      </c>
      <c r="F272" t="s">
        <v>63</v>
      </c>
      <c r="G272">
        <v>96</v>
      </c>
      <c r="H272">
        <v>1</v>
      </c>
      <c r="I272">
        <v>0.2</v>
      </c>
      <c r="J272">
        <v>31</v>
      </c>
      <c r="K272" t="s">
        <v>26</v>
      </c>
      <c r="L272" s="1"/>
      <c r="M272" s="2" t="str">
        <f>TEXT(working_data_2[[#This Row],[Date]], "mmm-yy")</f>
        <v>Jan-00</v>
      </c>
      <c r="N272" s="4">
        <f>IFERROR(working_data_2[[#This Row],[Profit]]/working_data_2[[#This Row],[Sales Amount]], 0)</f>
        <v>0.32291666666666669</v>
      </c>
    </row>
    <row r="273" spans="1:14" x14ac:dyDescent="0.3">
      <c r="A273" t="s">
        <v>1245</v>
      </c>
      <c r="B273" t="s">
        <v>1247</v>
      </c>
      <c r="C273" t="s">
        <v>133</v>
      </c>
      <c r="D273" t="s">
        <v>134</v>
      </c>
      <c r="E273" t="s">
        <v>32</v>
      </c>
      <c r="F273" t="s">
        <v>68</v>
      </c>
      <c r="G273">
        <v>1060</v>
      </c>
      <c r="H273">
        <v>1</v>
      </c>
      <c r="I273">
        <v>0.15</v>
      </c>
      <c r="J273">
        <v>126</v>
      </c>
      <c r="K273" t="s">
        <v>18</v>
      </c>
      <c r="L273" s="1">
        <v>45257</v>
      </c>
      <c r="M273" s="2" t="str">
        <f>TEXT(working_data_2[[#This Row],[Date]], "mmm-yy")</f>
        <v>Nov-23</v>
      </c>
      <c r="N273" s="4">
        <f>IFERROR(working_data_2[[#This Row],[Profit]]/working_data_2[[#This Row],[Sales Amount]], 0)</f>
        <v>0.11886792452830189</v>
      </c>
    </row>
    <row r="274" spans="1:14" x14ac:dyDescent="0.3">
      <c r="A274" t="s">
        <v>1254</v>
      </c>
      <c r="B274" t="s">
        <v>1256</v>
      </c>
      <c r="C274" t="s">
        <v>133</v>
      </c>
      <c r="D274" t="s">
        <v>134</v>
      </c>
      <c r="E274" t="s">
        <v>32</v>
      </c>
      <c r="F274" t="s">
        <v>84</v>
      </c>
      <c r="G274">
        <v>376</v>
      </c>
      <c r="H274">
        <v>1</v>
      </c>
      <c r="I274">
        <v>0.1</v>
      </c>
      <c r="J274">
        <v>58</v>
      </c>
      <c r="K274" t="s">
        <v>26</v>
      </c>
      <c r="L274" s="1">
        <v>45260</v>
      </c>
      <c r="M274" s="2" t="str">
        <f>TEXT(working_data_2[[#This Row],[Date]], "mmm-yy")</f>
        <v>Nov-23</v>
      </c>
      <c r="N274" s="4">
        <f>IFERROR(working_data_2[[#This Row],[Profit]]/working_data_2[[#This Row],[Sales Amount]], 0)</f>
        <v>0.15425531914893617</v>
      </c>
    </row>
    <row r="275" spans="1:14" x14ac:dyDescent="0.3">
      <c r="A275" t="s">
        <v>1257</v>
      </c>
      <c r="B275" t="s">
        <v>1259</v>
      </c>
      <c r="C275" t="s">
        <v>133</v>
      </c>
      <c r="D275" t="s">
        <v>134</v>
      </c>
      <c r="E275" t="s">
        <v>16</v>
      </c>
      <c r="F275" t="s">
        <v>89</v>
      </c>
      <c r="G275">
        <v>276</v>
      </c>
      <c r="H275">
        <v>2</v>
      </c>
      <c r="I275">
        <v>0.05</v>
      </c>
      <c r="J275">
        <v>48</v>
      </c>
      <c r="K275" t="s">
        <v>18</v>
      </c>
      <c r="L275" s="1">
        <v>45261</v>
      </c>
      <c r="M275" s="2" t="str">
        <f>TEXT(working_data_2[[#This Row],[Date]], "mmm-yy")</f>
        <v>Dec-23</v>
      </c>
      <c r="N275" s="4">
        <f>IFERROR(working_data_2[[#This Row],[Profit]]/working_data_2[[#This Row],[Sales Amount]], 0)</f>
        <v>0.17391304347826086</v>
      </c>
    </row>
    <row r="276" spans="1:14" x14ac:dyDescent="0.3">
      <c r="A276" t="s">
        <v>1260</v>
      </c>
      <c r="B276" t="s">
        <v>1262</v>
      </c>
      <c r="C276" t="s">
        <v>133</v>
      </c>
      <c r="D276" t="s">
        <v>134</v>
      </c>
      <c r="E276" t="s">
        <v>45</v>
      </c>
      <c r="F276" t="s">
        <v>95</v>
      </c>
      <c r="G276">
        <v>176</v>
      </c>
      <c r="H276">
        <v>1</v>
      </c>
      <c r="I276">
        <v>0</v>
      </c>
      <c r="J276">
        <v>43</v>
      </c>
      <c r="K276" t="s">
        <v>26</v>
      </c>
      <c r="L276" s="1">
        <v>44969</v>
      </c>
      <c r="M276" s="2" t="str">
        <f>TEXT(working_data_2[[#This Row],[Date]], "mmm-yy")</f>
        <v>Feb-23</v>
      </c>
      <c r="N276" s="4">
        <f>IFERROR(working_data_2[[#This Row],[Profit]]/working_data_2[[#This Row],[Sales Amount]], 0)</f>
        <v>0.24431818181818182</v>
      </c>
    </row>
    <row r="277" spans="1:14" x14ac:dyDescent="0.3">
      <c r="A277" t="s">
        <v>1263</v>
      </c>
      <c r="B277" t="s">
        <v>1265</v>
      </c>
      <c r="C277" t="s">
        <v>133</v>
      </c>
      <c r="D277" t="s">
        <v>134</v>
      </c>
      <c r="E277" t="s">
        <v>32</v>
      </c>
      <c r="F277" t="s">
        <v>100</v>
      </c>
      <c r="G277">
        <v>226</v>
      </c>
      <c r="H277">
        <v>1</v>
      </c>
      <c r="I277">
        <v>0.1</v>
      </c>
      <c r="J277">
        <v>38</v>
      </c>
      <c r="K277" t="s">
        <v>18</v>
      </c>
      <c r="L277" s="1">
        <v>44997</v>
      </c>
      <c r="M277" s="2" t="str">
        <f>TEXT(working_data_2[[#This Row],[Date]], "mmm-yy")</f>
        <v>Mar-23</v>
      </c>
      <c r="N277" s="4">
        <f>IFERROR(working_data_2[[#This Row],[Profit]]/working_data_2[[#This Row],[Sales Amount]], 0)</f>
        <v>0.16814159292035399</v>
      </c>
    </row>
    <row r="278" spans="1:14" x14ac:dyDescent="0.3">
      <c r="A278" t="s">
        <v>1266</v>
      </c>
      <c r="B278" t="s">
        <v>1268</v>
      </c>
      <c r="C278" t="s">
        <v>133</v>
      </c>
      <c r="D278" t="s">
        <v>134</v>
      </c>
      <c r="E278" t="s">
        <v>16</v>
      </c>
      <c r="F278" t="s">
        <v>106</v>
      </c>
      <c r="G278">
        <v>226</v>
      </c>
      <c r="H278">
        <v>1</v>
      </c>
      <c r="I278">
        <v>0</v>
      </c>
      <c r="J278">
        <v>58</v>
      </c>
      <c r="K278" t="s">
        <v>26</v>
      </c>
      <c r="L278" s="1">
        <v>45264</v>
      </c>
      <c r="M278" s="2" t="str">
        <f>TEXT(working_data_2[[#This Row],[Date]], "mmm-yy")</f>
        <v>Dec-23</v>
      </c>
      <c r="N278" s="4">
        <f>IFERROR(working_data_2[[#This Row],[Profit]]/working_data_2[[#This Row],[Sales Amount]], 0)</f>
        <v>0.25663716814159293</v>
      </c>
    </row>
    <row r="279" spans="1:14" x14ac:dyDescent="0.3">
      <c r="A279" t="s">
        <v>1269</v>
      </c>
      <c r="B279" t="s">
        <v>1271</v>
      </c>
      <c r="C279" t="s">
        <v>133</v>
      </c>
      <c r="D279" t="s">
        <v>134</v>
      </c>
      <c r="E279" t="s">
        <v>45</v>
      </c>
      <c r="F279" t="s">
        <v>112</v>
      </c>
      <c r="G279">
        <v>78</v>
      </c>
      <c r="H279">
        <v>2</v>
      </c>
      <c r="I279">
        <v>0.1</v>
      </c>
      <c r="J279">
        <v>20</v>
      </c>
      <c r="K279" t="s">
        <v>18</v>
      </c>
      <c r="L279" s="1">
        <v>45058</v>
      </c>
      <c r="M279" s="2" t="str">
        <f>TEXT(working_data_2[[#This Row],[Date]], "mmm-yy")</f>
        <v>May-23</v>
      </c>
      <c r="N279" s="4">
        <f>IFERROR(working_data_2[[#This Row],[Profit]]/working_data_2[[#This Row],[Sales Amount]], 0)</f>
        <v>0.25641025641025639</v>
      </c>
    </row>
    <row r="280" spans="1:14" x14ac:dyDescent="0.3">
      <c r="A280" t="s">
        <v>1272</v>
      </c>
      <c r="B280" t="s">
        <v>1274</v>
      </c>
      <c r="C280" t="s">
        <v>2004</v>
      </c>
      <c r="D280" t="s">
        <v>134</v>
      </c>
      <c r="E280" t="s">
        <v>32</v>
      </c>
      <c r="F280" t="s">
        <v>117</v>
      </c>
      <c r="G280">
        <v>1180</v>
      </c>
      <c r="H280">
        <v>1</v>
      </c>
      <c r="I280">
        <v>0.2</v>
      </c>
      <c r="J280">
        <v>176</v>
      </c>
      <c r="K280" t="s">
        <v>26</v>
      </c>
      <c r="L280" s="1">
        <v>45089</v>
      </c>
      <c r="M280" s="2" t="str">
        <f>TEXT(working_data_2[[#This Row],[Date]], "mmm-yy")</f>
        <v>Jun-23</v>
      </c>
      <c r="N280" s="4">
        <f>IFERROR(working_data_2[[#This Row],[Profit]]/working_data_2[[#This Row],[Sales Amount]], 0)</f>
        <v>0.14915254237288136</v>
      </c>
    </row>
    <row r="281" spans="1:14" x14ac:dyDescent="0.3">
      <c r="A281" t="s">
        <v>1275</v>
      </c>
      <c r="B281" t="s">
        <v>664</v>
      </c>
      <c r="C281" t="s">
        <v>133</v>
      </c>
      <c r="D281" t="s">
        <v>134</v>
      </c>
      <c r="E281" t="s">
        <v>16</v>
      </c>
      <c r="F281" t="s">
        <v>123</v>
      </c>
      <c r="G281">
        <v>780</v>
      </c>
      <c r="H281">
        <v>1</v>
      </c>
      <c r="I281">
        <v>0</v>
      </c>
      <c r="J281">
        <v>106</v>
      </c>
      <c r="K281" t="s">
        <v>18</v>
      </c>
      <c r="L281" s="1">
        <v>45267</v>
      </c>
      <c r="M281" s="2" t="str">
        <f>TEXT(working_data_2[[#This Row],[Date]], "mmm-yy")</f>
        <v>Dec-23</v>
      </c>
      <c r="N281" s="4">
        <f>IFERROR(working_data_2[[#This Row],[Profit]]/working_data_2[[#This Row],[Sales Amount]], 0)</f>
        <v>0.13589743589743589</v>
      </c>
    </row>
    <row r="282" spans="1:14" x14ac:dyDescent="0.3">
      <c r="A282" t="s">
        <v>1277</v>
      </c>
      <c r="B282" t="s">
        <v>668</v>
      </c>
      <c r="C282" t="s">
        <v>133</v>
      </c>
      <c r="D282" t="s">
        <v>134</v>
      </c>
      <c r="E282" t="s">
        <v>45</v>
      </c>
      <c r="F282" t="s">
        <v>129</v>
      </c>
      <c r="G282">
        <v>48</v>
      </c>
      <c r="H282">
        <v>3</v>
      </c>
      <c r="I282">
        <v>0</v>
      </c>
      <c r="J282">
        <v>14</v>
      </c>
      <c r="K282" t="s">
        <v>26</v>
      </c>
      <c r="L282" s="1">
        <v>45268</v>
      </c>
      <c r="M282" s="2" t="str">
        <f>TEXT(working_data_2[[#This Row],[Date]], "mmm-yy")</f>
        <v>Dec-23</v>
      </c>
      <c r="N282" s="4">
        <f>IFERROR(working_data_2[[#This Row],[Profit]]/working_data_2[[#This Row],[Sales Amount]], 0)</f>
        <v>0.29166666666666669</v>
      </c>
    </row>
    <row r="283" spans="1:14" x14ac:dyDescent="0.3">
      <c r="A283" t="s">
        <v>1282</v>
      </c>
      <c r="B283" t="s">
        <v>1284</v>
      </c>
      <c r="C283" t="s">
        <v>133</v>
      </c>
      <c r="D283" t="s">
        <v>134</v>
      </c>
      <c r="E283" t="s">
        <v>16</v>
      </c>
      <c r="F283" t="s">
        <v>141</v>
      </c>
      <c r="G283">
        <v>98</v>
      </c>
      <c r="H283">
        <v>2</v>
      </c>
      <c r="I283">
        <v>0.1</v>
      </c>
      <c r="J283">
        <v>31</v>
      </c>
      <c r="K283" t="s">
        <v>26</v>
      </c>
      <c r="L283" s="1">
        <v>45270</v>
      </c>
      <c r="M283" s="2" t="str">
        <f>TEXT(working_data_2[[#This Row],[Date]], "mmm-yy")</f>
        <v>Dec-23</v>
      </c>
      <c r="N283" s="4">
        <f>IFERROR(working_data_2[[#This Row],[Profit]]/working_data_2[[#This Row],[Sales Amount]], 0)</f>
        <v>0.31632653061224492</v>
      </c>
    </row>
    <row r="284" spans="1:14" x14ac:dyDescent="0.3">
      <c r="A284" t="s">
        <v>1285</v>
      </c>
      <c r="B284" t="s">
        <v>1287</v>
      </c>
      <c r="C284" t="s">
        <v>133</v>
      </c>
      <c r="D284" t="s">
        <v>134</v>
      </c>
      <c r="E284" t="s">
        <v>45</v>
      </c>
      <c r="F284" t="s">
        <v>146</v>
      </c>
      <c r="G284">
        <v>31</v>
      </c>
      <c r="H284">
        <v>5</v>
      </c>
      <c r="I284">
        <v>0</v>
      </c>
      <c r="J284">
        <v>14</v>
      </c>
      <c r="K284" t="s">
        <v>18</v>
      </c>
      <c r="L284" s="1">
        <v>45242</v>
      </c>
      <c r="M284" s="2" t="str">
        <f>TEXT(working_data_2[[#This Row],[Date]], "mmm-yy")</f>
        <v>Nov-23</v>
      </c>
      <c r="N284" s="4">
        <f>IFERROR(working_data_2[[#This Row],[Profit]]/working_data_2[[#This Row],[Sales Amount]], 0)</f>
        <v>0.45161290322580644</v>
      </c>
    </row>
    <row r="285" spans="1:14" x14ac:dyDescent="0.3">
      <c r="A285" t="s">
        <v>1288</v>
      </c>
      <c r="B285" t="s">
        <v>1290</v>
      </c>
      <c r="C285" t="s">
        <v>133</v>
      </c>
      <c r="D285" t="s">
        <v>134</v>
      </c>
      <c r="E285" t="s">
        <v>32</v>
      </c>
      <c r="F285" t="s">
        <v>152</v>
      </c>
      <c r="G285">
        <v>58</v>
      </c>
      <c r="H285">
        <v>4</v>
      </c>
      <c r="I285">
        <v>0</v>
      </c>
      <c r="J285">
        <v>20</v>
      </c>
      <c r="K285" t="s">
        <v>26</v>
      </c>
      <c r="L285" s="1">
        <v>45272</v>
      </c>
      <c r="M285" s="2" t="str">
        <f>TEXT(working_data_2[[#This Row],[Date]], "mmm-yy")</f>
        <v>Dec-23</v>
      </c>
      <c r="N285" s="4">
        <f>IFERROR(working_data_2[[#This Row],[Profit]]/working_data_2[[#This Row],[Sales Amount]], 0)</f>
        <v>0.34482758620689657</v>
      </c>
    </row>
    <row r="286" spans="1:14" x14ac:dyDescent="0.3">
      <c r="A286" t="s">
        <v>1291</v>
      </c>
      <c r="B286" t="s">
        <v>1293</v>
      </c>
      <c r="C286" t="s">
        <v>133</v>
      </c>
      <c r="D286" t="s">
        <v>134</v>
      </c>
      <c r="E286" t="s">
        <v>16</v>
      </c>
      <c r="F286" t="s">
        <v>158</v>
      </c>
      <c r="G286">
        <v>68</v>
      </c>
      <c r="H286">
        <v>2</v>
      </c>
      <c r="I286">
        <v>0</v>
      </c>
      <c r="J286">
        <v>20</v>
      </c>
      <c r="K286" t="s">
        <v>18</v>
      </c>
      <c r="L286" s="1">
        <v>45273</v>
      </c>
      <c r="M286" s="2" t="str">
        <f>TEXT(working_data_2[[#This Row],[Date]], "mmm-yy")</f>
        <v>Dec-23</v>
      </c>
      <c r="N286" s="4">
        <f>IFERROR(working_data_2[[#This Row],[Profit]]/working_data_2[[#This Row],[Sales Amount]], 0)</f>
        <v>0.29411764705882354</v>
      </c>
    </row>
    <row r="287" spans="1:14" x14ac:dyDescent="0.3">
      <c r="A287" t="s">
        <v>1294</v>
      </c>
      <c r="B287" t="s">
        <v>1296</v>
      </c>
      <c r="C287" t="s">
        <v>2004</v>
      </c>
      <c r="D287" t="s">
        <v>134</v>
      </c>
      <c r="E287" t="s">
        <v>45</v>
      </c>
      <c r="F287" t="s">
        <v>163</v>
      </c>
      <c r="G287">
        <v>38</v>
      </c>
      <c r="H287">
        <v>1</v>
      </c>
      <c r="I287">
        <v>0</v>
      </c>
      <c r="J287">
        <v>14</v>
      </c>
      <c r="K287" t="s">
        <v>26</v>
      </c>
      <c r="L287" s="1"/>
      <c r="M287" s="2" t="str">
        <f>TEXT(working_data_2[[#This Row],[Date]], "mmm-yy")</f>
        <v>Jan-00</v>
      </c>
      <c r="N287" s="4">
        <f>IFERROR(working_data_2[[#This Row],[Profit]]/working_data_2[[#This Row],[Sales Amount]], 0)</f>
        <v>0.36842105263157893</v>
      </c>
    </row>
    <row r="288" spans="1:14" x14ac:dyDescent="0.3">
      <c r="A288" t="s">
        <v>1297</v>
      </c>
      <c r="B288" t="s">
        <v>1299</v>
      </c>
      <c r="C288" t="s">
        <v>133</v>
      </c>
      <c r="D288" t="s">
        <v>134</v>
      </c>
      <c r="E288" t="s">
        <v>32</v>
      </c>
      <c r="F288" t="s">
        <v>168</v>
      </c>
      <c r="G288">
        <v>78</v>
      </c>
      <c r="H288">
        <v>2</v>
      </c>
      <c r="I288">
        <v>0.1</v>
      </c>
      <c r="J288">
        <v>20</v>
      </c>
      <c r="K288" t="s">
        <v>18</v>
      </c>
      <c r="L288" s="1">
        <v>45275</v>
      </c>
      <c r="M288" s="2" t="str">
        <f>TEXT(working_data_2[[#This Row],[Date]], "mmm-yy")</f>
        <v>Dec-23</v>
      </c>
      <c r="N288" s="4">
        <f>IFERROR(working_data_2[[#This Row],[Profit]]/working_data_2[[#This Row],[Sales Amount]], 0)</f>
        <v>0.25641025641025639</v>
      </c>
    </row>
    <row r="289" spans="1:14" x14ac:dyDescent="0.3">
      <c r="A289" t="s">
        <v>1300</v>
      </c>
      <c r="B289" t="s">
        <v>1302</v>
      </c>
      <c r="C289" t="s">
        <v>133</v>
      </c>
      <c r="D289" t="s">
        <v>134</v>
      </c>
      <c r="E289" t="s">
        <v>16</v>
      </c>
      <c r="F289" t="s">
        <v>174</v>
      </c>
      <c r="G289">
        <v>43</v>
      </c>
      <c r="H289">
        <v>3</v>
      </c>
      <c r="I289">
        <v>0</v>
      </c>
      <c r="J289">
        <v>14</v>
      </c>
      <c r="K289" t="s">
        <v>26</v>
      </c>
      <c r="L289" s="1"/>
      <c r="M289" s="2" t="str">
        <f>TEXT(working_data_2[[#This Row],[Date]], "mmm-yy")</f>
        <v>Jan-00</v>
      </c>
      <c r="N289" s="4">
        <f>IFERROR(working_data_2[[#This Row],[Profit]]/working_data_2[[#This Row],[Sales Amount]], 0)</f>
        <v>0.32558139534883723</v>
      </c>
    </row>
    <row r="290" spans="1:14" x14ac:dyDescent="0.3">
      <c r="A290" t="s">
        <v>1303</v>
      </c>
      <c r="B290" t="s">
        <v>1976</v>
      </c>
      <c r="C290" t="s">
        <v>139</v>
      </c>
      <c r="D290" t="s">
        <v>140</v>
      </c>
      <c r="E290" t="s">
        <v>16</v>
      </c>
      <c r="F290" t="s">
        <v>17</v>
      </c>
      <c r="G290">
        <v>1280</v>
      </c>
      <c r="H290">
        <v>1</v>
      </c>
      <c r="I290">
        <v>0.1</v>
      </c>
      <c r="J290">
        <v>168</v>
      </c>
      <c r="K290" t="s">
        <v>18</v>
      </c>
      <c r="L290" s="1"/>
      <c r="M290" s="2" t="str">
        <f>TEXT(working_data_2[[#This Row],[Date]], "mmm-yy")</f>
        <v>Jan-00</v>
      </c>
      <c r="N290" s="4">
        <f>IFERROR(working_data_2[[#This Row],[Profit]]/working_data_2[[#This Row],[Sales Amount]], 0)</f>
        <v>0.13125000000000001</v>
      </c>
    </row>
    <row r="291" spans="1:14" x14ac:dyDescent="0.3">
      <c r="A291" t="s">
        <v>1306</v>
      </c>
      <c r="B291" t="s">
        <v>1977</v>
      </c>
      <c r="C291" t="s">
        <v>1309</v>
      </c>
      <c r="D291" t="s">
        <v>140</v>
      </c>
      <c r="E291" t="s">
        <v>45</v>
      </c>
      <c r="F291" t="s">
        <v>25</v>
      </c>
      <c r="G291">
        <v>34</v>
      </c>
      <c r="H291">
        <v>2</v>
      </c>
      <c r="I291">
        <v>0</v>
      </c>
      <c r="J291">
        <v>19</v>
      </c>
      <c r="K291" t="s">
        <v>26</v>
      </c>
      <c r="L291" s="1">
        <v>45278</v>
      </c>
      <c r="M291" s="2" t="str">
        <f>TEXT(working_data_2[[#This Row],[Date]], "mmm-yy")</f>
        <v>Dec-23</v>
      </c>
      <c r="N291" s="4">
        <f>IFERROR(working_data_2[[#This Row],[Profit]]/working_data_2[[#This Row],[Sales Amount]], 0)</f>
        <v>0.55882352941176472</v>
      </c>
    </row>
    <row r="292" spans="1:14" x14ac:dyDescent="0.3">
      <c r="A292" t="s">
        <v>1313</v>
      </c>
      <c r="B292" t="s">
        <v>1978</v>
      </c>
      <c r="C292" t="s">
        <v>415</v>
      </c>
      <c r="D292" t="s">
        <v>140</v>
      </c>
      <c r="E292" t="s">
        <v>16</v>
      </c>
      <c r="F292" t="s">
        <v>39</v>
      </c>
      <c r="G292">
        <v>980</v>
      </c>
      <c r="H292">
        <v>1</v>
      </c>
      <c r="I292">
        <v>0.05</v>
      </c>
      <c r="J292">
        <v>128</v>
      </c>
      <c r="K292" t="s">
        <v>18</v>
      </c>
      <c r="L292" s="1"/>
      <c r="M292" s="2" t="str">
        <f>TEXT(working_data_2[[#This Row],[Date]], "mmm-yy")</f>
        <v>Jan-00</v>
      </c>
      <c r="N292" s="4">
        <f>IFERROR(working_data_2[[#This Row],[Profit]]/working_data_2[[#This Row],[Sales Amount]], 0)</f>
        <v>0.1306122448979592</v>
      </c>
    </row>
    <row r="293" spans="1:14" x14ac:dyDescent="0.3">
      <c r="A293" t="s">
        <v>1316</v>
      </c>
      <c r="B293" t="s">
        <v>1318</v>
      </c>
      <c r="C293" t="s">
        <v>1319</v>
      </c>
      <c r="D293" t="s">
        <v>140</v>
      </c>
      <c r="E293" t="s">
        <v>45</v>
      </c>
      <c r="F293" t="s">
        <v>46</v>
      </c>
      <c r="G293">
        <v>70</v>
      </c>
      <c r="H293">
        <v>3</v>
      </c>
      <c r="I293">
        <v>0</v>
      </c>
      <c r="J293">
        <v>33</v>
      </c>
      <c r="K293" t="s">
        <v>26</v>
      </c>
      <c r="L293" s="1"/>
      <c r="M293" s="2" t="str">
        <f>TEXT(working_data_2[[#This Row],[Date]], "mmm-yy")</f>
        <v>Jan-00</v>
      </c>
      <c r="N293" s="4">
        <f>IFERROR(working_data_2[[#This Row],[Profit]]/working_data_2[[#This Row],[Sales Amount]], 0)</f>
        <v>0.47142857142857142</v>
      </c>
    </row>
    <row r="294" spans="1:14" x14ac:dyDescent="0.3">
      <c r="A294" t="s">
        <v>1320</v>
      </c>
      <c r="B294" t="s">
        <v>1322</v>
      </c>
      <c r="C294" t="s">
        <v>1323</v>
      </c>
      <c r="D294" t="s">
        <v>140</v>
      </c>
      <c r="E294" t="s">
        <v>32</v>
      </c>
      <c r="F294" t="s">
        <v>53</v>
      </c>
      <c r="G294">
        <v>178</v>
      </c>
      <c r="H294">
        <v>4</v>
      </c>
      <c r="I294">
        <v>0.1</v>
      </c>
      <c r="J294">
        <v>36</v>
      </c>
      <c r="K294" t="s">
        <v>26</v>
      </c>
      <c r="L294" s="1">
        <v>45282</v>
      </c>
      <c r="M294" s="2" t="str">
        <f>TEXT(working_data_2[[#This Row],[Date]], "mmm-yy")</f>
        <v>Dec-23</v>
      </c>
      <c r="N294" s="4">
        <f>IFERROR(working_data_2[[#This Row],[Profit]]/working_data_2[[#This Row],[Sales Amount]], 0)</f>
        <v>0.20224719101123595</v>
      </c>
    </row>
    <row r="295" spans="1:14" x14ac:dyDescent="0.3">
      <c r="A295" t="s">
        <v>1324</v>
      </c>
      <c r="B295" t="s">
        <v>1326</v>
      </c>
      <c r="C295" t="s">
        <v>1327</v>
      </c>
      <c r="D295" t="s">
        <v>140</v>
      </c>
      <c r="E295" t="s">
        <v>16</v>
      </c>
      <c r="F295" t="s">
        <v>59</v>
      </c>
      <c r="G295">
        <v>328</v>
      </c>
      <c r="H295">
        <v>2</v>
      </c>
      <c r="I295">
        <v>0</v>
      </c>
      <c r="J295">
        <v>60</v>
      </c>
      <c r="K295" t="s">
        <v>18</v>
      </c>
      <c r="L295" s="1"/>
      <c r="M295" s="2" t="str">
        <f>TEXT(working_data_2[[#This Row],[Date]], "mmm-yy")</f>
        <v>Jan-00</v>
      </c>
      <c r="N295" s="4">
        <f>IFERROR(working_data_2[[#This Row],[Profit]]/working_data_2[[#This Row],[Sales Amount]], 0)</f>
        <v>0.18292682926829268</v>
      </c>
    </row>
    <row r="296" spans="1:14" x14ac:dyDescent="0.3">
      <c r="A296" t="s">
        <v>1328</v>
      </c>
      <c r="B296" t="s">
        <v>1330</v>
      </c>
      <c r="C296" t="s">
        <v>2004</v>
      </c>
      <c r="D296" t="s">
        <v>140</v>
      </c>
      <c r="E296" t="s">
        <v>45</v>
      </c>
      <c r="F296" t="s">
        <v>63</v>
      </c>
      <c r="G296">
        <v>98</v>
      </c>
      <c r="H296">
        <v>1</v>
      </c>
      <c r="I296">
        <v>0.2</v>
      </c>
      <c r="J296">
        <v>33</v>
      </c>
      <c r="K296" t="s">
        <v>26</v>
      </c>
      <c r="L296" s="1"/>
      <c r="M296" s="2" t="str">
        <f>TEXT(working_data_2[[#This Row],[Date]], "mmm-yy")</f>
        <v>Jan-00</v>
      </c>
      <c r="N296" s="4">
        <f>IFERROR(working_data_2[[#This Row],[Profit]]/working_data_2[[#This Row],[Sales Amount]], 0)</f>
        <v>0.33673469387755101</v>
      </c>
    </row>
    <row r="297" spans="1:14" x14ac:dyDescent="0.3">
      <c r="A297" t="s">
        <v>1331</v>
      </c>
      <c r="B297" t="s">
        <v>1333</v>
      </c>
      <c r="C297" t="s">
        <v>1334</v>
      </c>
      <c r="D297" t="s">
        <v>140</v>
      </c>
      <c r="E297" t="s">
        <v>32</v>
      </c>
      <c r="F297" t="s">
        <v>68</v>
      </c>
      <c r="G297">
        <v>1080</v>
      </c>
      <c r="H297">
        <v>1</v>
      </c>
      <c r="I297">
        <v>0.15</v>
      </c>
      <c r="J297">
        <v>128</v>
      </c>
      <c r="K297" t="s">
        <v>18</v>
      </c>
      <c r="L297" s="1">
        <v>45285</v>
      </c>
      <c r="M297" s="2" t="str">
        <f>TEXT(working_data_2[[#This Row],[Date]], "mmm-yy")</f>
        <v>Dec-23</v>
      </c>
      <c r="N297" s="4">
        <f>IFERROR(working_data_2[[#This Row],[Profit]]/working_data_2[[#This Row],[Sales Amount]], 0)</f>
        <v>0.11851851851851852</v>
      </c>
    </row>
    <row r="298" spans="1:14" x14ac:dyDescent="0.3">
      <c r="A298" t="s">
        <v>1343</v>
      </c>
      <c r="B298" t="s">
        <v>1345</v>
      </c>
      <c r="C298" t="s">
        <v>1346</v>
      </c>
      <c r="D298" t="s">
        <v>140</v>
      </c>
      <c r="E298" t="s">
        <v>32</v>
      </c>
      <c r="F298" t="s">
        <v>84</v>
      </c>
      <c r="G298">
        <v>378</v>
      </c>
      <c r="H298">
        <v>1</v>
      </c>
      <c r="I298">
        <v>0.1</v>
      </c>
      <c r="J298">
        <v>60</v>
      </c>
      <c r="K298" t="s">
        <v>26</v>
      </c>
      <c r="L298" s="1">
        <v>45288</v>
      </c>
      <c r="M298" s="2" t="str">
        <f>TEXT(working_data_2[[#This Row],[Date]], "mmm-yy")</f>
        <v>Dec-23</v>
      </c>
      <c r="N298" s="4">
        <f>IFERROR(working_data_2[[#This Row],[Profit]]/working_data_2[[#This Row],[Sales Amount]], 0)</f>
        <v>0.15873015873015872</v>
      </c>
    </row>
    <row r="299" spans="1:14" x14ac:dyDescent="0.3">
      <c r="A299" t="s">
        <v>1347</v>
      </c>
      <c r="B299" t="s">
        <v>1349</v>
      </c>
      <c r="C299" t="s">
        <v>1350</v>
      </c>
      <c r="D299" t="s">
        <v>140</v>
      </c>
      <c r="E299" t="s">
        <v>16</v>
      </c>
      <c r="F299" t="s">
        <v>89</v>
      </c>
      <c r="G299">
        <v>278</v>
      </c>
      <c r="H299">
        <v>2</v>
      </c>
      <c r="I299">
        <v>0.05</v>
      </c>
      <c r="J299">
        <v>50</v>
      </c>
      <c r="K299" t="s">
        <v>18</v>
      </c>
      <c r="L299" s="1">
        <v>45289</v>
      </c>
      <c r="M299" s="2" t="str">
        <f>TEXT(working_data_2[[#This Row],[Date]], "mmm-yy")</f>
        <v>Dec-23</v>
      </c>
      <c r="N299" s="4">
        <f>IFERROR(working_data_2[[#This Row],[Profit]]/working_data_2[[#This Row],[Sales Amount]], 0)</f>
        <v>0.17985611510791366</v>
      </c>
    </row>
    <row r="300" spans="1:14" x14ac:dyDescent="0.3">
      <c r="A300" t="s">
        <v>1351</v>
      </c>
      <c r="B300" t="s">
        <v>1353</v>
      </c>
      <c r="C300" t="s">
        <v>1354</v>
      </c>
      <c r="D300" t="s">
        <v>140</v>
      </c>
      <c r="E300" t="s">
        <v>45</v>
      </c>
      <c r="F300" t="s">
        <v>95</v>
      </c>
      <c r="G300">
        <v>178</v>
      </c>
      <c r="H300">
        <v>1</v>
      </c>
      <c r="I300">
        <v>0</v>
      </c>
      <c r="J300">
        <v>45</v>
      </c>
      <c r="K300" t="s">
        <v>26</v>
      </c>
      <c r="L300" s="1"/>
      <c r="M300" s="2" t="str">
        <f>TEXT(working_data_2[[#This Row],[Date]], "mmm-yy")</f>
        <v>Jan-00</v>
      </c>
      <c r="N300" s="4">
        <f>IFERROR(working_data_2[[#This Row],[Profit]]/working_data_2[[#This Row],[Sales Amount]], 0)</f>
        <v>0.25280898876404495</v>
      </c>
    </row>
    <row r="301" spans="1:14" x14ac:dyDescent="0.3">
      <c r="A301" t="s">
        <v>1355</v>
      </c>
      <c r="B301" t="s">
        <v>1357</v>
      </c>
      <c r="C301" t="s">
        <v>1358</v>
      </c>
      <c r="D301" t="s">
        <v>140</v>
      </c>
      <c r="E301" t="s">
        <v>32</v>
      </c>
      <c r="F301" t="s">
        <v>100</v>
      </c>
      <c r="G301">
        <v>228</v>
      </c>
      <c r="H301">
        <v>1</v>
      </c>
      <c r="I301">
        <v>0.1</v>
      </c>
      <c r="J301">
        <v>40</v>
      </c>
      <c r="K301" t="s">
        <v>18</v>
      </c>
      <c r="L301" s="1"/>
      <c r="M301" s="2" t="str">
        <f>TEXT(working_data_2[[#This Row],[Date]], "mmm-yy")</f>
        <v>Jan-00</v>
      </c>
      <c r="N301" s="4">
        <f>IFERROR(working_data_2[[#This Row],[Profit]]/working_data_2[[#This Row],[Sales Amount]], 0)</f>
        <v>0.17543859649122806</v>
      </c>
    </row>
    <row r="302" spans="1:14" x14ac:dyDescent="0.3">
      <c r="A302" t="s">
        <v>1359</v>
      </c>
      <c r="B302" t="s">
        <v>1361</v>
      </c>
      <c r="C302" t="s">
        <v>1362</v>
      </c>
      <c r="D302" t="s">
        <v>140</v>
      </c>
      <c r="E302" t="s">
        <v>16</v>
      </c>
      <c r="F302" t="s">
        <v>106</v>
      </c>
      <c r="G302">
        <v>228</v>
      </c>
      <c r="H302">
        <v>1</v>
      </c>
      <c r="I302">
        <v>0</v>
      </c>
      <c r="J302">
        <v>60</v>
      </c>
      <c r="K302" t="s">
        <v>26</v>
      </c>
      <c r="L302" s="1">
        <v>45292</v>
      </c>
      <c r="M302" s="2" t="str">
        <f>TEXT(working_data_2[[#This Row],[Date]], "mmm-yy")</f>
        <v>Jan-24</v>
      </c>
      <c r="N302" s="4">
        <f>IFERROR(working_data_2[[#This Row],[Profit]]/working_data_2[[#This Row],[Sales Amount]], 0)</f>
        <v>0.26315789473684209</v>
      </c>
    </row>
    <row r="303" spans="1:14" x14ac:dyDescent="0.3">
      <c r="A303" t="s">
        <v>1363</v>
      </c>
      <c r="B303" t="s">
        <v>1365</v>
      </c>
      <c r="C303" t="s">
        <v>1366</v>
      </c>
      <c r="D303" t="s">
        <v>140</v>
      </c>
      <c r="E303" t="s">
        <v>45</v>
      </c>
      <c r="F303" t="s">
        <v>112</v>
      </c>
      <c r="G303">
        <v>80</v>
      </c>
      <c r="H303">
        <v>2</v>
      </c>
      <c r="I303">
        <v>0.1</v>
      </c>
      <c r="J303">
        <v>21</v>
      </c>
      <c r="K303" t="s">
        <v>18</v>
      </c>
      <c r="L303" s="1">
        <v>45323</v>
      </c>
      <c r="M303" s="2" t="str">
        <f>TEXT(working_data_2[[#This Row],[Date]], "mmm-yy")</f>
        <v>Feb-24</v>
      </c>
      <c r="N303" s="4">
        <f>IFERROR(working_data_2[[#This Row],[Profit]]/working_data_2[[#This Row],[Sales Amount]], 0)</f>
        <v>0.26250000000000001</v>
      </c>
    </row>
    <row r="304" spans="1:14" x14ac:dyDescent="0.3">
      <c r="A304" t="s">
        <v>1367</v>
      </c>
      <c r="B304" t="s">
        <v>1369</v>
      </c>
      <c r="C304" t="s">
        <v>2004</v>
      </c>
      <c r="D304" t="s">
        <v>140</v>
      </c>
      <c r="E304" t="s">
        <v>32</v>
      </c>
      <c r="F304" t="s">
        <v>117</v>
      </c>
      <c r="G304">
        <v>1200</v>
      </c>
      <c r="H304">
        <v>1</v>
      </c>
      <c r="I304">
        <v>0.2</v>
      </c>
      <c r="J304">
        <v>178</v>
      </c>
      <c r="K304" t="s">
        <v>26</v>
      </c>
      <c r="L304" s="1">
        <v>45352</v>
      </c>
      <c r="M304" s="2" t="str">
        <f>TEXT(working_data_2[[#This Row],[Date]], "mmm-yy")</f>
        <v>Mar-24</v>
      </c>
      <c r="N304" s="4">
        <f>IFERROR(working_data_2[[#This Row],[Profit]]/working_data_2[[#This Row],[Sales Amount]], 0)</f>
        <v>0.14833333333333334</v>
      </c>
    </row>
    <row r="305" spans="1:14" x14ac:dyDescent="0.3">
      <c r="A305" t="s">
        <v>1370</v>
      </c>
      <c r="B305" t="s">
        <v>1372</v>
      </c>
      <c r="C305" t="s">
        <v>1373</v>
      </c>
      <c r="D305" t="s">
        <v>140</v>
      </c>
      <c r="E305" t="s">
        <v>16</v>
      </c>
      <c r="F305" t="s">
        <v>123</v>
      </c>
      <c r="G305">
        <v>800</v>
      </c>
      <c r="H305">
        <v>1</v>
      </c>
      <c r="I305">
        <v>0</v>
      </c>
      <c r="J305">
        <v>108</v>
      </c>
      <c r="K305" t="s">
        <v>18</v>
      </c>
      <c r="L305" s="1">
        <v>45295</v>
      </c>
      <c r="M305" s="2" t="str">
        <f>TEXT(working_data_2[[#This Row],[Date]], "mmm-yy")</f>
        <v>Jan-24</v>
      </c>
      <c r="N305" s="4">
        <f>IFERROR(working_data_2[[#This Row],[Profit]]/working_data_2[[#This Row],[Sales Amount]], 0)</f>
        <v>0.13500000000000001</v>
      </c>
    </row>
    <row r="306" spans="1:14" x14ac:dyDescent="0.3">
      <c r="A306" t="s">
        <v>1374</v>
      </c>
      <c r="B306" t="s">
        <v>1376</v>
      </c>
      <c r="C306" t="s">
        <v>1377</v>
      </c>
      <c r="D306" t="s">
        <v>140</v>
      </c>
      <c r="E306" t="s">
        <v>45</v>
      </c>
      <c r="F306" t="s">
        <v>129</v>
      </c>
      <c r="G306">
        <v>50</v>
      </c>
      <c r="H306">
        <v>3</v>
      </c>
      <c r="I306">
        <v>0</v>
      </c>
      <c r="J306">
        <v>15</v>
      </c>
      <c r="K306" t="s">
        <v>26</v>
      </c>
      <c r="L306" s="1">
        <v>45296</v>
      </c>
      <c r="M306" s="2" t="str">
        <f>TEXT(working_data_2[[#This Row],[Date]], "mmm-yy")</f>
        <v>Jan-24</v>
      </c>
      <c r="N306" s="4">
        <f>IFERROR(working_data_2[[#This Row],[Profit]]/working_data_2[[#This Row],[Sales Amount]], 0)</f>
        <v>0.3</v>
      </c>
    </row>
    <row r="307" spans="1:14" x14ac:dyDescent="0.3">
      <c r="A307" t="s">
        <v>1382</v>
      </c>
      <c r="B307" t="s">
        <v>1979</v>
      </c>
      <c r="C307" t="s">
        <v>1385</v>
      </c>
      <c r="D307" t="s">
        <v>140</v>
      </c>
      <c r="E307" t="s">
        <v>16</v>
      </c>
      <c r="F307" t="s">
        <v>141</v>
      </c>
      <c r="G307">
        <v>100</v>
      </c>
      <c r="H307">
        <v>2</v>
      </c>
      <c r="I307">
        <v>0.1</v>
      </c>
      <c r="J307">
        <v>33</v>
      </c>
      <c r="K307" t="s">
        <v>26</v>
      </c>
      <c r="L307" s="1">
        <v>45298</v>
      </c>
      <c r="M307" s="2" t="str">
        <f>TEXT(working_data_2[[#This Row],[Date]], "mmm-yy")</f>
        <v>Jan-24</v>
      </c>
      <c r="N307" s="4">
        <f>IFERROR(working_data_2[[#This Row],[Profit]]/working_data_2[[#This Row],[Sales Amount]], 0)</f>
        <v>0.33</v>
      </c>
    </row>
    <row r="308" spans="1:14" x14ac:dyDescent="0.3">
      <c r="A308" t="s">
        <v>1386</v>
      </c>
      <c r="B308" t="s">
        <v>1388</v>
      </c>
      <c r="C308" t="s">
        <v>1389</v>
      </c>
      <c r="D308" t="s">
        <v>140</v>
      </c>
      <c r="E308" t="s">
        <v>45</v>
      </c>
      <c r="F308" t="s">
        <v>146</v>
      </c>
      <c r="G308">
        <v>33</v>
      </c>
      <c r="H308">
        <v>5</v>
      </c>
      <c r="I308">
        <v>0</v>
      </c>
      <c r="J308">
        <v>15</v>
      </c>
      <c r="K308" t="s">
        <v>18</v>
      </c>
      <c r="L308" s="1">
        <v>45505</v>
      </c>
      <c r="M308" s="2" t="str">
        <f>TEXT(working_data_2[[#This Row],[Date]], "mmm-yy")</f>
        <v>Aug-24</v>
      </c>
      <c r="N308" s="4">
        <f>IFERROR(working_data_2[[#This Row],[Profit]]/working_data_2[[#This Row],[Sales Amount]], 0)</f>
        <v>0.45454545454545453</v>
      </c>
    </row>
    <row r="309" spans="1:14" x14ac:dyDescent="0.3">
      <c r="A309" t="s">
        <v>1390</v>
      </c>
      <c r="B309" t="s">
        <v>1392</v>
      </c>
      <c r="C309" t="s">
        <v>1393</v>
      </c>
      <c r="D309" t="s">
        <v>140</v>
      </c>
      <c r="E309" t="s">
        <v>32</v>
      </c>
      <c r="F309" t="s">
        <v>152</v>
      </c>
      <c r="G309">
        <v>60</v>
      </c>
      <c r="H309">
        <v>4</v>
      </c>
      <c r="I309">
        <v>0</v>
      </c>
      <c r="J309">
        <v>21</v>
      </c>
      <c r="K309" t="s">
        <v>26</v>
      </c>
      <c r="L309" s="1">
        <v>45300</v>
      </c>
      <c r="M309" s="2" t="str">
        <f>TEXT(working_data_2[[#This Row],[Date]], "mmm-yy")</f>
        <v>Jan-24</v>
      </c>
      <c r="N309" s="4">
        <f>IFERROR(working_data_2[[#This Row],[Profit]]/working_data_2[[#This Row],[Sales Amount]], 0)</f>
        <v>0.35</v>
      </c>
    </row>
    <row r="310" spans="1:14" x14ac:dyDescent="0.3">
      <c r="A310" t="s">
        <v>1394</v>
      </c>
      <c r="B310" t="s">
        <v>1396</v>
      </c>
      <c r="C310" t="s">
        <v>1397</v>
      </c>
      <c r="D310" t="s">
        <v>140</v>
      </c>
      <c r="E310" t="s">
        <v>16</v>
      </c>
      <c r="F310" t="s">
        <v>158</v>
      </c>
      <c r="G310">
        <v>70</v>
      </c>
      <c r="H310">
        <v>2</v>
      </c>
      <c r="I310">
        <v>0</v>
      </c>
      <c r="J310">
        <v>21</v>
      </c>
      <c r="K310" t="s">
        <v>18</v>
      </c>
      <c r="L310" s="1">
        <v>45301</v>
      </c>
      <c r="M310" s="2" t="str">
        <f>TEXT(working_data_2[[#This Row],[Date]], "mmm-yy")</f>
        <v>Jan-24</v>
      </c>
      <c r="N310" s="4">
        <f>IFERROR(working_data_2[[#This Row],[Profit]]/working_data_2[[#This Row],[Sales Amount]], 0)</f>
        <v>0.3</v>
      </c>
    </row>
    <row r="311" spans="1:14" x14ac:dyDescent="0.3">
      <c r="A311" t="s">
        <v>1398</v>
      </c>
      <c r="B311" t="s">
        <v>1400</v>
      </c>
      <c r="C311" t="s">
        <v>2004</v>
      </c>
      <c r="D311" t="s">
        <v>140</v>
      </c>
      <c r="E311" t="s">
        <v>45</v>
      </c>
      <c r="F311" t="s">
        <v>163</v>
      </c>
      <c r="G311">
        <v>40</v>
      </c>
      <c r="H311">
        <v>1</v>
      </c>
      <c r="I311">
        <v>0</v>
      </c>
      <c r="J311">
        <v>15</v>
      </c>
      <c r="K311" t="s">
        <v>26</v>
      </c>
      <c r="L311" s="1">
        <v>45597</v>
      </c>
      <c r="M311" s="2" t="str">
        <f>TEXT(working_data_2[[#This Row],[Date]], "mmm-yy")</f>
        <v>Nov-24</v>
      </c>
      <c r="N311" s="4">
        <f>IFERROR(working_data_2[[#This Row],[Profit]]/working_data_2[[#This Row],[Sales Amount]], 0)</f>
        <v>0.375</v>
      </c>
    </row>
    <row r="312" spans="1:14" x14ac:dyDescent="0.3">
      <c r="A312" t="s">
        <v>1401</v>
      </c>
      <c r="B312" t="s">
        <v>1403</v>
      </c>
      <c r="C312" t="s">
        <v>1404</v>
      </c>
      <c r="D312" t="s">
        <v>140</v>
      </c>
      <c r="E312" t="s">
        <v>32</v>
      </c>
      <c r="F312" t="s">
        <v>168</v>
      </c>
      <c r="G312">
        <v>80</v>
      </c>
      <c r="H312">
        <v>2</v>
      </c>
      <c r="I312">
        <v>0.1</v>
      </c>
      <c r="J312">
        <v>21</v>
      </c>
      <c r="K312" t="s">
        <v>18</v>
      </c>
      <c r="L312" s="1">
        <v>45303</v>
      </c>
      <c r="M312" s="2" t="str">
        <f>TEXT(working_data_2[[#This Row],[Date]], "mmm-yy")</f>
        <v>Jan-24</v>
      </c>
      <c r="N312" s="4">
        <f>IFERROR(working_data_2[[#This Row],[Profit]]/working_data_2[[#This Row],[Sales Amount]], 0)</f>
        <v>0.26250000000000001</v>
      </c>
    </row>
    <row r="313" spans="1:14" x14ac:dyDescent="0.3">
      <c r="A313" t="s">
        <v>1405</v>
      </c>
      <c r="B313" t="s">
        <v>1980</v>
      </c>
      <c r="C313" t="s">
        <v>1408</v>
      </c>
      <c r="D313" t="s">
        <v>140</v>
      </c>
      <c r="E313" t="s">
        <v>16</v>
      </c>
      <c r="F313" t="s">
        <v>174</v>
      </c>
      <c r="G313">
        <v>45</v>
      </c>
      <c r="H313">
        <v>3</v>
      </c>
      <c r="I313">
        <v>0</v>
      </c>
      <c r="J313">
        <v>15</v>
      </c>
      <c r="K313" t="s">
        <v>26</v>
      </c>
      <c r="L313" s="1">
        <v>45304</v>
      </c>
      <c r="M313" s="2" t="str">
        <f>TEXT(working_data_2[[#This Row],[Date]], "mmm-yy")</f>
        <v>Jan-24</v>
      </c>
      <c r="N313" s="4">
        <f>IFERROR(working_data_2[[#This Row],[Profit]]/working_data_2[[#This Row],[Sales Amount]], 0)</f>
        <v>0.33333333333333331</v>
      </c>
    </row>
    <row r="314" spans="1:14" x14ac:dyDescent="0.3">
      <c r="A314" t="s">
        <v>1409</v>
      </c>
      <c r="B314" t="s">
        <v>1981</v>
      </c>
      <c r="C314" t="s">
        <v>156</v>
      </c>
      <c r="D314" t="s">
        <v>157</v>
      </c>
      <c r="E314" t="s">
        <v>16</v>
      </c>
      <c r="F314" t="s">
        <v>17</v>
      </c>
      <c r="G314">
        <v>1290</v>
      </c>
      <c r="H314">
        <v>1</v>
      </c>
      <c r="I314">
        <v>0.1</v>
      </c>
      <c r="J314">
        <v>170</v>
      </c>
      <c r="K314" t="s">
        <v>18</v>
      </c>
      <c r="L314" s="1">
        <v>45305</v>
      </c>
      <c r="M314" s="2" t="str">
        <f>TEXT(working_data_2[[#This Row],[Date]], "mmm-yy")</f>
        <v>Jan-24</v>
      </c>
      <c r="N314" s="4">
        <f>IFERROR(working_data_2[[#This Row],[Profit]]/working_data_2[[#This Row],[Sales Amount]], 0)</f>
        <v>0.13178294573643412</v>
      </c>
    </row>
    <row r="315" spans="1:14" x14ac:dyDescent="0.3">
      <c r="A315" t="s">
        <v>1412</v>
      </c>
      <c r="B315" t="s">
        <v>1982</v>
      </c>
      <c r="C315" t="s">
        <v>1415</v>
      </c>
      <c r="D315" t="s">
        <v>157</v>
      </c>
      <c r="E315" t="s">
        <v>45</v>
      </c>
      <c r="F315" t="s">
        <v>25</v>
      </c>
      <c r="G315">
        <v>35</v>
      </c>
      <c r="H315">
        <v>2</v>
      </c>
      <c r="I315">
        <v>0</v>
      </c>
      <c r="J315">
        <v>20</v>
      </c>
      <c r="K315" t="s">
        <v>26</v>
      </c>
      <c r="L315" s="1">
        <v>45306</v>
      </c>
      <c r="M315" s="2" t="str">
        <f>TEXT(working_data_2[[#This Row],[Date]], "mmm-yy")</f>
        <v>Jan-24</v>
      </c>
      <c r="N315" s="4">
        <f>IFERROR(working_data_2[[#This Row],[Profit]]/working_data_2[[#This Row],[Sales Amount]], 0)</f>
        <v>0.5714285714285714</v>
      </c>
    </row>
    <row r="316" spans="1:14" x14ac:dyDescent="0.3">
      <c r="A316" t="s">
        <v>1419</v>
      </c>
      <c r="B316" t="s">
        <v>1983</v>
      </c>
      <c r="C316" t="s">
        <v>904</v>
      </c>
      <c r="D316" t="s">
        <v>157</v>
      </c>
      <c r="E316" t="s">
        <v>16</v>
      </c>
      <c r="F316" t="s">
        <v>39</v>
      </c>
      <c r="G316">
        <v>1000</v>
      </c>
      <c r="H316">
        <v>1</v>
      </c>
      <c r="I316">
        <v>0.05</v>
      </c>
      <c r="J316">
        <v>130</v>
      </c>
      <c r="K316" t="s">
        <v>18</v>
      </c>
      <c r="L316" s="1">
        <v>45308</v>
      </c>
      <c r="M316" s="2" t="str">
        <f>TEXT(working_data_2[[#This Row],[Date]], "mmm-yy")</f>
        <v>Jan-24</v>
      </c>
      <c r="N316" s="4">
        <f>IFERROR(working_data_2[[#This Row],[Profit]]/working_data_2[[#This Row],[Sales Amount]], 0)</f>
        <v>0.13</v>
      </c>
    </row>
    <row r="317" spans="1:14" x14ac:dyDescent="0.3">
      <c r="A317" t="s">
        <v>1422</v>
      </c>
      <c r="B317" t="s">
        <v>1984</v>
      </c>
      <c r="C317" t="s">
        <v>1425</v>
      </c>
      <c r="D317" t="s">
        <v>157</v>
      </c>
      <c r="E317" t="s">
        <v>45</v>
      </c>
      <c r="F317" t="s">
        <v>46</v>
      </c>
      <c r="G317">
        <v>72</v>
      </c>
      <c r="H317">
        <v>3</v>
      </c>
      <c r="I317">
        <v>0</v>
      </c>
      <c r="J317">
        <v>35</v>
      </c>
      <c r="K317" t="s">
        <v>26</v>
      </c>
      <c r="L317" s="1">
        <v>45309</v>
      </c>
      <c r="M317" s="2" t="str">
        <f>TEXT(working_data_2[[#This Row],[Date]], "mmm-yy")</f>
        <v>Jan-24</v>
      </c>
      <c r="N317" s="4">
        <f>IFERROR(working_data_2[[#This Row],[Profit]]/working_data_2[[#This Row],[Sales Amount]], 0)</f>
        <v>0.4861111111111111</v>
      </c>
    </row>
    <row r="318" spans="1:14" x14ac:dyDescent="0.3">
      <c r="A318" t="s">
        <v>1426</v>
      </c>
      <c r="B318" t="s">
        <v>1428</v>
      </c>
      <c r="C318" t="s">
        <v>1429</v>
      </c>
      <c r="D318" t="s">
        <v>157</v>
      </c>
      <c r="E318" t="s">
        <v>32</v>
      </c>
      <c r="F318" t="s">
        <v>53</v>
      </c>
      <c r="G318">
        <v>180</v>
      </c>
      <c r="H318">
        <v>4</v>
      </c>
      <c r="I318">
        <v>0.1</v>
      </c>
      <c r="J318">
        <v>38</v>
      </c>
      <c r="K318" t="s">
        <v>26</v>
      </c>
      <c r="L318" s="1">
        <v>45310</v>
      </c>
      <c r="M318" s="2" t="str">
        <f>TEXT(working_data_2[[#This Row],[Date]], "mmm-yy")</f>
        <v>Jan-24</v>
      </c>
      <c r="N318" s="4">
        <f>IFERROR(working_data_2[[#This Row],[Profit]]/working_data_2[[#This Row],[Sales Amount]], 0)</f>
        <v>0.21111111111111111</v>
      </c>
    </row>
    <row r="319" spans="1:14" x14ac:dyDescent="0.3">
      <c r="A319" t="s">
        <v>1430</v>
      </c>
      <c r="B319" t="s">
        <v>1432</v>
      </c>
      <c r="C319" t="s">
        <v>1433</v>
      </c>
      <c r="D319" t="s">
        <v>157</v>
      </c>
      <c r="E319" t="s">
        <v>16</v>
      </c>
      <c r="F319" t="s">
        <v>59</v>
      </c>
      <c r="G319">
        <v>330</v>
      </c>
      <c r="H319">
        <v>2</v>
      </c>
      <c r="I319">
        <v>0</v>
      </c>
      <c r="J319">
        <v>62</v>
      </c>
      <c r="K319" t="s">
        <v>18</v>
      </c>
      <c r="L319" s="1">
        <v>45311</v>
      </c>
      <c r="M319" s="2" t="str">
        <f>TEXT(working_data_2[[#This Row],[Date]], "mmm-yy")</f>
        <v>Jan-24</v>
      </c>
      <c r="N319" s="4">
        <f>IFERROR(working_data_2[[#This Row],[Profit]]/working_data_2[[#This Row],[Sales Amount]], 0)</f>
        <v>0.18787878787878787</v>
      </c>
    </row>
    <row r="320" spans="1:14" x14ac:dyDescent="0.3">
      <c r="A320" t="s">
        <v>1434</v>
      </c>
      <c r="B320" t="s">
        <v>1436</v>
      </c>
      <c r="C320" t="s">
        <v>2004</v>
      </c>
      <c r="D320" t="s">
        <v>157</v>
      </c>
      <c r="E320" t="s">
        <v>45</v>
      </c>
      <c r="F320" t="s">
        <v>63</v>
      </c>
      <c r="G320">
        <v>100</v>
      </c>
      <c r="H320">
        <v>1</v>
      </c>
      <c r="I320">
        <v>0.2</v>
      </c>
      <c r="J320">
        <v>35</v>
      </c>
      <c r="K320" t="s">
        <v>26</v>
      </c>
      <c r="L320" s="1">
        <v>45312</v>
      </c>
      <c r="M320" s="2" t="str">
        <f>TEXT(working_data_2[[#This Row],[Date]], "mmm-yy")</f>
        <v>Jan-24</v>
      </c>
      <c r="N320" s="4">
        <f>IFERROR(working_data_2[[#This Row],[Profit]]/working_data_2[[#This Row],[Sales Amount]], 0)</f>
        <v>0.35</v>
      </c>
    </row>
    <row r="321" spans="1:14" x14ac:dyDescent="0.3">
      <c r="A321" t="s">
        <v>1437</v>
      </c>
      <c r="B321" t="s">
        <v>1439</v>
      </c>
      <c r="C321" t="s">
        <v>1440</v>
      </c>
      <c r="D321" t="s">
        <v>157</v>
      </c>
      <c r="E321" t="s">
        <v>32</v>
      </c>
      <c r="F321" t="s">
        <v>68</v>
      </c>
      <c r="G321">
        <v>1100</v>
      </c>
      <c r="H321">
        <v>1</v>
      </c>
      <c r="I321">
        <v>0.15</v>
      </c>
      <c r="J321">
        <v>130</v>
      </c>
      <c r="K321" t="s">
        <v>18</v>
      </c>
      <c r="L321" s="1">
        <v>45313</v>
      </c>
      <c r="M321" s="2" t="str">
        <f>TEXT(working_data_2[[#This Row],[Date]], "mmm-yy")</f>
        <v>Jan-24</v>
      </c>
      <c r="N321" s="4">
        <f>IFERROR(working_data_2[[#This Row],[Profit]]/working_data_2[[#This Row],[Sales Amount]], 0)</f>
        <v>0.11818181818181818</v>
      </c>
    </row>
    <row r="322" spans="1:14" x14ac:dyDescent="0.3">
      <c r="A322" t="s">
        <v>1448</v>
      </c>
      <c r="B322" t="s">
        <v>1450</v>
      </c>
      <c r="C322" t="s">
        <v>1451</v>
      </c>
      <c r="D322" t="s">
        <v>157</v>
      </c>
      <c r="E322" t="s">
        <v>32</v>
      </c>
      <c r="F322" t="s">
        <v>84</v>
      </c>
      <c r="G322">
        <v>380</v>
      </c>
      <c r="H322">
        <v>1</v>
      </c>
      <c r="I322">
        <v>0.1</v>
      </c>
      <c r="J322">
        <v>62</v>
      </c>
      <c r="K322" t="s">
        <v>26</v>
      </c>
      <c r="L322" s="1">
        <v>45316</v>
      </c>
      <c r="M322" s="2" t="str">
        <f>TEXT(working_data_2[[#This Row],[Date]], "mmm-yy")</f>
        <v>Jan-24</v>
      </c>
      <c r="N322" s="4">
        <f>IFERROR(working_data_2[[#This Row],[Profit]]/working_data_2[[#This Row],[Sales Amount]], 0)</f>
        <v>0.16315789473684211</v>
      </c>
    </row>
    <row r="323" spans="1:14" x14ac:dyDescent="0.3">
      <c r="A323" t="s">
        <v>1452</v>
      </c>
      <c r="B323" t="s">
        <v>1985</v>
      </c>
      <c r="C323" t="s">
        <v>1455</v>
      </c>
      <c r="D323" t="s">
        <v>157</v>
      </c>
      <c r="E323" t="s">
        <v>16</v>
      </c>
      <c r="F323" t="s">
        <v>89</v>
      </c>
      <c r="G323">
        <v>280</v>
      </c>
      <c r="H323">
        <v>2</v>
      </c>
      <c r="I323">
        <v>0.05</v>
      </c>
      <c r="J323">
        <v>52</v>
      </c>
      <c r="K323" t="s">
        <v>18</v>
      </c>
      <c r="L323" s="1">
        <v>45317</v>
      </c>
      <c r="M323" s="2" t="str">
        <f>TEXT(working_data_2[[#This Row],[Date]], "mmm-yy")</f>
        <v>Jan-24</v>
      </c>
      <c r="N323" s="4">
        <f>IFERROR(working_data_2[[#This Row],[Profit]]/working_data_2[[#This Row],[Sales Amount]], 0)</f>
        <v>0.18571428571428572</v>
      </c>
    </row>
    <row r="324" spans="1:14" x14ac:dyDescent="0.3">
      <c r="A324" t="s">
        <v>1456</v>
      </c>
      <c r="B324" t="s">
        <v>1458</v>
      </c>
      <c r="C324" t="s">
        <v>1459</v>
      </c>
      <c r="D324" t="s">
        <v>157</v>
      </c>
      <c r="E324" t="s">
        <v>45</v>
      </c>
      <c r="F324" t="s">
        <v>95</v>
      </c>
      <c r="G324">
        <v>180</v>
      </c>
      <c r="H324">
        <v>1</v>
      </c>
      <c r="I324">
        <v>0</v>
      </c>
      <c r="J324">
        <v>47</v>
      </c>
      <c r="K324" t="s">
        <v>26</v>
      </c>
      <c r="L324" s="1">
        <v>45318</v>
      </c>
      <c r="M324" s="2" t="str">
        <f>TEXT(working_data_2[[#This Row],[Date]], "mmm-yy")</f>
        <v>Jan-24</v>
      </c>
      <c r="N324" s="4">
        <f>IFERROR(working_data_2[[#This Row],[Profit]]/working_data_2[[#This Row],[Sales Amount]], 0)</f>
        <v>0.26111111111111113</v>
      </c>
    </row>
    <row r="325" spans="1:14" x14ac:dyDescent="0.3">
      <c r="A325" t="s">
        <v>1460</v>
      </c>
      <c r="B325" t="s">
        <v>1462</v>
      </c>
      <c r="C325" t="s">
        <v>1463</v>
      </c>
      <c r="D325" t="s">
        <v>157</v>
      </c>
      <c r="E325" t="s">
        <v>32</v>
      </c>
      <c r="F325" t="s">
        <v>100</v>
      </c>
      <c r="G325">
        <v>230</v>
      </c>
      <c r="H325">
        <v>1</v>
      </c>
      <c r="I325">
        <v>0.1</v>
      </c>
      <c r="J325">
        <v>42</v>
      </c>
      <c r="K325" t="s">
        <v>18</v>
      </c>
      <c r="L325" s="1">
        <v>45319</v>
      </c>
      <c r="M325" s="2" t="str">
        <f>TEXT(working_data_2[[#This Row],[Date]], "mmm-yy")</f>
        <v>Jan-24</v>
      </c>
      <c r="N325" s="4">
        <f>IFERROR(working_data_2[[#This Row],[Profit]]/working_data_2[[#This Row],[Sales Amount]], 0)</f>
        <v>0.18260869565217391</v>
      </c>
    </row>
    <row r="326" spans="1:14" x14ac:dyDescent="0.3">
      <c r="A326" t="s">
        <v>1464</v>
      </c>
      <c r="B326" t="s">
        <v>1466</v>
      </c>
      <c r="C326" t="s">
        <v>1467</v>
      </c>
      <c r="D326" t="s">
        <v>157</v>
      </c>
      <c r="E326" t="s">
        <v>16</v>
      </c>
      <c r="F326" t="s">
        <v>106</v>
      </c>
      <c r="G326">
        <v>230</v>
      </c>
      <c r="H326">
        <v>1</v>
      </c>
      <c r="I326">
        <v>0</v>
      </c>
      <c r="J326">
        <v>62</v>
      </c>
      <c r="K326" t="s">
        <v>26</v>
      </c>
      <c r="L326" s="1">
        <v>45320</v>
      </c>
      <c r="M326" s="2" t="str">
        <f>TEXT(working_data_2[[#This Row],[Date]], "mmm-yy")</f>
        <v>Jan-24</v>
      </c>
      <c r="N326" s="4">
        <f>IFERROR(working_data_2[[#This Row],[Profit]]/working_data_2[[#This Row],[Sales Amount]], 0)</f>
        <v>0.26956521739130435</v>
      </c>
    </row>
    <row r="327" spans="1:14" x14ac:dyDescent="0.3">
      <c r="A327" t="s">
        <v>1468</v>
      </c>
      <c r="B327" t="s">
        <v>1470</v>
      </c>
      <c r="C327" t="s">
        <v>1471</v>
      </c>
      <c r="D327" t="s">
        <v>157</v>
      </c>
      <c r="E327" t="s">
        <v>45</v>
      </c>
      <c r="F327" t="s">
        <v>112</v>
      </c>
      <c r="G327">
        <v>82</v>
      </c>
      <c r="H327">
        <v>2</v>
      </c>
      <c r="I327">
        <v>0.1</v>
      </c>
      <c r="J327">
        <v>22</v>
      </c>
      <c r="K327" t="s">
        <v>18</v>
      </c>
      <c r="L327" s="1">
        <v>45321</v>
      </c>
      <c r="M327" s="2" t="str">
        <f>TEXT(working_data_2[[#This Row],[Date]], "mmm-yy")</f>
        <v>Jan-24</v>
      </c>
      <c r="N327" s="4">
        <f>IFERROR(working_data_2[[#This Row],[Profit]]/working_data_2[[#This Row],[Sales Amount]], 0)</f>
        <v>0.26829268292682928</v>
      </c>
    </row>
    <row r="328" spans="1:14" x14ac:dyDescent="0.3">
      <c r="A328" t="s">
        <v>1472</v>
      </c>
      <c r="B328" t="s">
        <v>1098</v>
      </c>
      <c r="C328" t="s">
        <v>2004</v>
      </c>
      <c r="D328" t="s">
        <v>157</v>
      </c>
      <c r="E328" t="s">
        <v>32</v>
      </c>
      <c r="F328" t="s">
        <v>117</v>
      </c>
      <c r="G328">
        <v>1220</v>
      </c>
      <c r="H328">
        <v>1</v>
      </c>
      <c r="I328">
        <v>0.2</v>
      </c>
      <c r="J328">
        <v>180</v>
      </c>
      <c r="K328" t="s">
        <v>26</v>
      </c>
      <c r="L328" s="1">
        <v>45322</v>
      </c>
      <c r="M328" s="2" t="str">
        <f>TEXT(working_data_2[[#This Row],[Date]], "mmm-yy")</f>
        <v>Jan-24</v>
      </c>
      <c r="N328" s="4">
        <f>IFERROR(working_data_2[[#This Row],[Profit]]/working_data_2[[#This Row],[Sales Amount]], 0)</f>
        <v>0.14754098360655737</v>
      </c>
    </row>
    <row r="329" spans="1:14" x14ac:dyDescent="0.3">
      <c r="A329" t="s">
        <v>1474</v>
      </c>
      <c r="B329" t="s">
        <v>1476</v>
      </c>
      <c r="C329" t="s">
        <v>1477</v>
      </c>
      <c r="D329" t="s">
        <v>157</v>
      </c>
      <c r="E329" t="s">
        <v>16</v>
      </c>
      <c r="F329" t="s">
        <v>123</v>
      </c>
      <c r="G329">
        <v>820</v>
      </c>
      <c r="H329">
        <v>1</v>
      </c>
      <c r="I329">
        <v>0</v>
      </c>
      <c r="J329">
        <v>110</v>
      </c>
      <c r="K329" t="s">
        <v>18</v>
      </c>
      <c r="L329" s="1">
        <v>45323</v>
      </c>
      <c r="M329" s="2" t="str">
        <f>TEXT(working_data_2[[#This Row],[Date]], "mmm-yy")</f>
        <v>Feb-24</v>
      </c>
      <c r="N329" s="4">
        <f>IFERROR(working_data_2[[#This Row],[Profit]]/working_data_2[[#This Row],[Sales Amount]], 0)</f>
        <v>0.13414634146341464</v>
      </c>
    </row>
    <row r="330" spans="1:14" x14ac:dyDescent="0.3">
      <c r="A330" t="s">
        <v>1478</v>
      </c>
      <c r="B330" t="s">
        <v>1480</v>
      </c>
      <c r="C330" t="s">
        <v>1481</v>
      </c>
      <c r="D330" t="s">
        <v>157</v>
      </c>
      <c r="E330" t="s">
        <v>45</v>
      </c>
      <c r="F330" t="s">
        <v>129</v>
      </c>
      <c r="G330">
        <v>52</v>
      </c>
      <c r="H330">
        <v>3</v>
      </c>
      <c r="I330">
        <v>0</v>
      </c>
      <c r="J330">
        <v>16</v>
      </c>
      <c r="K330" t="s">
        <v>26</v>
      </c>
      <c r="L330" s="1">
        <v>45324</v>
      </c>
      <c r="M330" s="2" t="str">
        <f>TEXT(working_data_2[[#This Row],[Date]], "mmm-yy")</f>
        <v>Feb-24</v>
      </c>
      <c r="N330" s="4">
        <f>IFERROR(working_data_2[[#This Row],[Profit]]/working_data_2[[#This Row],[Sales Amount]], 0)</f>
        <v>0.30769230769230771</v>
      </c>
    </row>
    <row r="331" spans="1:14" x14ac:dyDescent="0.3">
      <c r="A331" t="s">
        <v>1486</v>
      </c>
      <c r="B331" t="s">
        <v>1986</v>
      </c>
      <c r="C331" t="s">
        <v>1489</v>
      </c>
      <c r="D331" t="s">
        <v>157</v>
      </c>
      <c r="E331" t="s">
        <v>16</v>
      </c>
      <c r="F331" t="s">
        <v>141</v>
      </c>
      <c r="G331">
        <v>102</v>
      </c>
      <c r="H331">
        <v>2</v>
      </c>
      <c r="I331">
        <v>0.1</v>
      </c>
      <c r="J331">
        <v>35</v>
      </c>
      <c r="K331" t="s">
        <v>26</v>
      </c>
      <c r="L331" s="1">
        <v>45326</v>
      </c>
      <c r="M331" s="2" t="str">
        <f>TEXT(working_data_2[[#This Row],[Date]], "mmm-yy")</f>
        <v>Feb-24</v>
      </c>
      <c r="N331" s="4">
        <f>IFERROR(working_data_2[[#This Row],[Profit]]/working_data_2[[#This Row],[Sales Amount]], 0)</f>
        <v>0.34313725490196079</v>
      </c>
    </row>
    <row r="332" spans="1:14" x14ac:dyDescent="0.3">
      <c r="A332" t="s">
        <v>1490</v>
      </c>
      <c r="B332" t="s">
        <v>1492</v>
      </c>
      <c r="C332" t="s">
        <v>1493</v>
      </c>
      <c r="D332" t="s">
        <v>157</v>
      </c>
      <c r="E332" t="s">
        <v>45</v>
      </c>
      <c r="F332" t="s">
        <v>146</v>
      </c>
      <c r="G332">
        <v>35</v>
      </c>
      <c r="H332">
        <v>5</v>
      </c>
      <c r="I332">
        <v>0</v>
      </c>
      <c r="J332">
        <v>16</v>
      </c>
      <c r="K332" t="s">
        <v>18</v>
      </c>
      <c r="L332" s="1">
        <v>45414</v>
      </c>
      <c r="M332" s="2" t="str">
        <f>TEXT(working_data_2[[#This Row],[Date]], "mmm-yy")</f>
        <v>May-24</v>
      </c>
      <c r="N332" s="4">
        <f>IFERROR(working_data_2[[#This Row],[Profit]]/working_data_2[[#This Row],[Sales Amount]], 0)</f>
        <v>0.45714285714285713</v>
      </c>
    </row>
    <row r="333" spans="1:14" x14ac:dyDescent="0.3">
      <c r="A333" t="s">
        <v>1494</v>
      </c>
      <c r="B333" t="s">
        <v>1496</v>
      </c>
      <c r="C333" t="s">
        <v>1497</v>
      </c>
      <c r="D333" t="s">
        <v>157</v>
      </c>
      <c r="E333" t="s">
        <v>32</v>
      </c>
      <c r="F333" t="s">
        <v>152</v>
      </c>
      <c r="G333">
        <v>62</v>
      </c>
      <c r="H333">
        <v>4</v>
      </c>
      <c r="I333">
        <v>0</v>
      </c>
      <c r="J333">
        <v>22</v>
      </c>
      <c r="K333" t="s">
        <v>26</v>
      </c>
      <c r="L333" s="1">
        <v>45328</v>
      </c>
      <c r="M333" s="2" t="str">
        <f>TEXT(working_data_2[[#This Row],[Date]], "mmm-yy")</f>
        <v>Feb-24</v>
      </c>
      <c r="N333" s="4">
        <f>IFERROR(working_data_2[[#This Row],[Profit]]/working_data_2[[#This Row],[Sales Amount]], 0)</f>
        <v>0.35483870967741937</v>
      </c>
    </row>
    <row r="334" spans="1:14" x14ac:dyDescent="0.3">
      <c r="A334" t="s">
        <v>1498</v>
      </c>
      <c r="B334" t="s">
        <v>1500</v>
      </c>
      <c r="C334" t="s">
        <v>1501</v>
      </c>
      <c r="D334" t="s">
        <v>157</v>
      </c>
      <c r="E334" t="s">
        <v>16</v>
      </c>
      <c r="F334" t="s">
        <v>158</v>
      </c>
      <c r="G334">
        <v>72</v>
      </c>
      <c r="H334">
        <v>2</v>
      </c>
      <c r="I334">
        <v>0</v>
      </c>
      <c r="J334">
        <v>22</v>
      </c>
      <c r="K334" t="s">
        <v>18</v>
      </c>
      <c r="L334" s="1">
        <v>45329</v>
      </c>
      <c r="M334" s="2" t="str">
        <f>TEXT(working_data_2[[#This Row],[Date]], "mmm-yy")</f>
        <v>Feb-24</v>
      </c>
      <c r="N334" s="4">
        <f>IFERROR(working_data_2[[#This Row],[Profit]]/working_data_2[[#This Row],[Sales Amount]], 0)</f>
        <v>0.30555555555555558</v>
      </c>
    </row>
    <row r="335" spans="1:14" x14ac:dyDescent="0.3">
      <c r="A335" t="s">
        <v>1502</v>
      </c>
      <c r="B335" t="s">
        <v>1504</v>
      </c>
      <c r="C335" t="s">
        <v>2004</v>
      </c>
      <c r="D335" t="s">
        <v>157</v>
      </c>
      <c r="E335" t="s">
        <v>45</v>
      </c>
      <c r="F335" t="s">
        <v>163</v>
      </c>
      <c r="G335">
        <v>42</v>
      </c>
      <c r="H335">
        <v>1</v>
      </c>
      <c r="I335">
        <v>0</v>
      </c>
      <c r="J335">
        <v>16</v>
      </c>
      <c r="K335" t="s">
        <v>26</v>
      </c>
      <c r="L335" s="1">
        <v>45506</v>
      </c>
      <c r="M335" s="2" t="str">
        <f>TEXT(working_data_2[[#This Row],[Date]], "mmm-yy")</f>
        <v>Aug-24</v>
      </c>
      <c r="N335" s="4">
        <f>IFERROR(working_data_2[[#This Row],[Profit]]/working_data_2[[#This Row],[Sales Amount]], 0)</f>
        <v>0.38095238095238093</v>
      </c>
    </row>
    <row r="336" spans="1:14" x14ac:dyDescent="0.3">
      <c r="A336" t="s">
        <v>1505</v>
      </c>
      <c r="B336" t="s">
        <v>1507</v>
      </c>
      <c r="C336" t="s">
        <v>1508</v>
      </c>
      <c r="D336" t="s">
        <v>157</v>
      </c>
      <c r="E336" t="s">
        <v>32</v>
      </c>
      <c r="F336" t="s">
        <v>168</v>
      </c>
      <c r="G336">
        <v>82</v>
      </c>
      <c r="H336">
        <v>2</v>
      </c>
      <c r="I336">
        <v>0.1</v>
      </c>
      <c r="J336">
        <v>22</v>
      </c>
      <c r="K336" t="s">
        <v>18</v>
      </c>
      <c r="L336" s="1">
        <v>45331</v>
      </c>
      <c r="M336" s="2" t="str">
        <f>TEXT(working_data_2[[#This Row],[Date]], "mmm-yy")</f>
        <v>Feb-24</v>
      </c>
      <c r="N336" s="4">
        <f>IFERROR(working_data_2[[#This Row],[Profit]]/working_data_2[[#This Row],[Sales Amount]], 0)</f>
        <v>0.26829268292682928</v>
      </c>
    </row>
    <row r="337" spans="1:14" x14ac:dyDescent="0.3">
      <c r="A337" t="s">
        <v>1509</v>
      </c>
      <c r="B337" t="s">
        <v>1511</v>
      </c>
      <c r="C337" t="s">
        <v>1512</v>
      </c>
      <c r="D337" t="s">
        <v>157</v>
      </c>
      <c r="E337" t="s">
        <v>16</v>
      </c>
      <c r="F337" t="s">
        <v>174</v>
      </c>
      <c r="G337">
        <v>47</v>
      </c>
      <c r="H337">
        <v>3</v>
      </c>
      <c r="I337">
        <v>0</v>
      </c>
      <c r="J337">
        <v>16</v>
      </c>
      <c r="K337" t="s">
        <v>26</v>
      </c>
      <c r="L337" s="1">
        <v>45567</v>
      </c>
      <c r="M337" s="2" t="str">
        <f>TEXT(working_data_2[[#This Row],[Date]], "mmm-yy")</f>
        <v>Oct-24</v>
      </c>
      <c r="N337" s="4">
        <f>IFERROR(working_data_2[[#This Row],[Profit]]/working_data_2[[#This Row],[Sales Amount]], 0)</f>
        <v>0.34042553191489361</v>
      </c>
    </row>
    <row r="338" spans="1:14" x14ac:dyDescent="0.3">
      <c r="A338" t="s">
        <v>1513</v>
      </c>
      <c r="B338" t="s">
        <v>1987</v>
      </c>
      <c r="C338" t="s">
        <v>167</v>
      </c>
      <c r="D338" t="s">
        <v>151</v>
      </c>
      <c r="E338" t="s">
        <v>16</v>
      </c>
      <c r="F338" t="s">
        <v>17</v>
      </c>
      <c r="G338">
        <v>1300</v>
      </c>
      <c r="H338">
        <v>1</v>
      </c>
      <c r="I338">
        <v>0.1</v>
      </c>
      <c r="J338">
        <v>172</v>
      </c>
      <c r="K338" t="s">
        <v>18</v>
      </c>
      <c r="L338" s="1">
        <v>45598</v>
      </c>
      <c r="M338" s="2" t="str">
        <f>TEXT(working_data_2[[#This Row],[Date]], "mmm-yy")</f>
        <v>Nov-24</v>
      </c>
      <c r="N338" s="4">
        <f>IFERROR(working_data_2[[#This Row],[Profit]]/working_data_2[[#This Row],[Sales Amount]], 0)</f>
        <v>0.13230769230769232</v>
      </c>
    </row>
    <row r="339" spans="1:14" x14ac:dyDescent="0.3">
      <c r="A339" t="s">
        <v>1516</v>
      </c>
      <c r="B339" t="s">
        <v>1988</v>
      </c>
      <c r="C339" t="s">
        <v>1519</v>
      </c>
      <c r="D339" t="s">
        <v>151</v>
      </c>
      <c r="E339" t="s">
        <v>45</v>
      </c>
      <c r="F339" t="s">
        <v>25</v>
      </c>
      <c r="G339">
        <v>36</v>
      </c>
      <c r="H339">
        <v>2</v>
      </c>
      <c r="I339">
        <v>0</v>
      </c>
      <c r="J339">
        <v>21</v>
      </c>
      <c r="K339" t="s">
        <v>26</v>
      </c>
      <c r="L339" s="1">
        <v>45334</v>
      </c>
      <c r="M339" s="2" t="str">
        <f>TEXT(working_data_2[[#This Row],[Date]], "mmm-yy")</f>
        <v>Feb-24</v>
      </c>
      <c r="N339" s="4">
        <f>IFERROR(working_data_2[[#This Row],[Profit]]/working_data_2[[#This Row],[Sales Amount]], 0)</f>
        <v>0.58333333333333337</v>
      </c>
    </row>
    <row r="340" spans="1:14" x14ac:dyDescent="0.3">
      <c r="A340" t="s">
        <v>1523</v>
      </c>
      <c r="B340" t="s">
        <v>1989</v>
      </c>
      <c r="C340" t="s">
        <v>1526</v>
      </c>
      <c r="D340" t="s">
        <v>151</v>
      </c>
      <c r="E340" t="s">
        <v>16</v>
      </c>
      <c r="F340" t="s">
        <v>39</v>
      </c>
      <c r="G340">
        <v>1020</v>
      </c>
      <c r="H340">
        <v>1</v>
      </c>
      <c r="I340">
        <v>0.05</v>
      </c>
      <c r="J340">
        <v>132</v>
      </c>
      <c r="K340" t="s">
        <v>18</v>
      </c>
      <c r="L340" s="1">
        <v>45336</v>
      </c>
      <c r="M340" s="2" t="str">
        <f>TEXT(working_data_2[[#This Row],[Date]], "mmm-yy")</f>
        <v>Feb-24</v>
      </c>
      <c r="N340" s="4">
        <f>IFERROR(working_data_2[[#This Row],[Profit]]/working_data_2[[#This Row],[Sales Amount]], 0)</f>
        <v>0.12941176470588237</v>
      </c>
    </row>
    <row r="341" spans="1:14" x14ac:dyDescent="0.3">
      <c r="A341" t="s">
        <v>1527</v>
      </c>
      <c r="B341" t="s">
        <v>1529</v>
      </c>
      <c r="C341" t="s">
        <v>1530</v>
      </c>
      <c r="D341" t="s">
        <v>151</v>
      </c>
      <c r="E341" t="s">
        <v>45</v>
      </c>
      <c r="F341" t="s">
        <v>46</v>
      </c>
      <c r="G341">
        <v>74</v>
      </c>
      <c r="H341">
        <v>3</v>
      </c>
      <c r="I341">
        <v>0</v>
      </c>
      <c r="J341">
        <v>37</v>
      </c>
      <c r="K341" t="s">
        <v>26</v>
      </c>
      <c r="L341" s="1">
        <v>45337</v>
      </c>
      <c r="M341" s="2" t="str">
        <f>TEXT(working_data_2[[#This Row],[Date]], "mmm-yy")</f>
        <v>Feb-24</v>
      </c>
      <c r="N341" s="4">
        <f>IFERROR(working_data_2[[#This Row],[Profit]]/working_data_2[[#This Row],[Sales Amount]], 0)</f>
        <v>0.5</v>
      </c>
    </row>
    <row r="342" spans="1:14" x14ac:dyDescent="0.3">
      <c r="A342" t="s">
        <v>1531</v>
      </c>
      <c r="B342" t="s">
        <v>1533</v>
      </c>
      <c r="C342" t="s">
        <v>1534</v>
      </c>
      <c r="D342" t="s">
        <v>151</v>
      </c>
      <c r="E342" t="s">
        <v>32</v>
      </c>
      <c r="F342" t="s">
        <v>53</v>
      </c>
      <c r="G342">
        <v>182</v>
      </c>
      <c r="H342">
        <v>4</v>
      </c>
      <c r="I342">
        <v>0.1</v>
      </c>
      <c r="J342">
        <v>40</v>
      </c>
      <c r="K342" t="s">
        <v>26</v>
      </c>
      <c r="L342" s="1">
        <v>45338</v>
      </c>
      <c r="M342" s="2" t="str">
        <f>TEXT(working_data_2[[#This Row],[Date]], "mmm-yy")</f>
        <v>Feb-24</v>
      </c>
      <c r="N342" s="4">
        <f>IFERROR(working_data_2[[#This Row],[Profit]]/working_data_2[[#This Row],[Sales Amount]], 0)</f>
        <v>0.21978021978021978</v>
      </c>
    </row>
    <row r="343" spans="1:14" x14ac:dyDescent="0.3">
      <c r="A343" t="s">
        <v>1535</v>
      </c>
      <c r="B343" t="s">
        <v>1537</v>
      </c>
      <c r="C343" t="s">
        <v>1538</v>
      </c>
      <c r="D343" t="s">
        <v>151</v>
      </c>
      <c r="E343" t="s">
        <v>16</v>
      </c>
      <c r="F343" t="s">
        <v>59</v>
      </c>
      <c r="G343">
        <v>332</v>
      </c>
      <c r="H343">
        <v>2</v>
      </c>
      <c r="I343">
        <v>0</v>
      </c>
      <c r="J343">
        <v>64</v>
      </c>
      <c r="K343" t="s">
        <v>18</v>
      </c>
      <c r="L343" s="1">
        <v>45339</v>
      </c>
      <c r="M343" s="2" t="str">
        <f>TEXT(working_data_2[[#This Row],[Date]], "mmm-yy")</f>
        <v>Feb-24</v>
      </c>
      <c r="N343" s="4">
        <f>IFERROR(working_data_2[[#This Row],[Profit]]/working_data_2[[#This Row],[Sales Amount]], 0)</f>
        <v>0.19277108433734941</v>
      </c>
    </row>
    <row r="344" spans="1:14" x14ac:dyDescent="0.3">
      <c r="A344" t="s">
        <v>1539</v>
      </c>
      <c r="B344" t="s">
        <v>1541</v>
      </c>
      <c r="C344" t="s">
        <v>2004</v>
      </c>
      <c r="D344" t="s">
        <v>151</v>
      </c>
      <c r="E344" t="s">
        <v>45</v>
      </c>
      <c r="F344" t="s">
        <v>63</v>
      </c>
      <c r="G344">
        <v>102</v>
      </c>
      <c r="H344">
        <v>1</v>
      </c>
      <c r="I344">
        <v>0.2</v>
      </c>
      <c r="J344">
        <v>37</v>
      </c>
      <c r="K344" t="s">
        <v>26</v>
      </c>
      <c r="L344" s="1">
        <v>45340</v>
      </c>
      <c r="M344" s="2" t="str">
        <f>TEXT(working_data_2[[#This Row],[Date]], "mmm-yy")</f>
        <v>Feb-24</v>
      </c>
      <c r="N344" s="4">
        <f>IFERROR(working_data_2[[#This Row],[Profit]]/working_data_2[[#This Row],[Sales Amount]], 0)</f>
        <v>0.36274509803921567</v>
      </c>
    </row>
    <row r="345" spans="1:14" x14ac:dyDescent="0.3">
      <c r="A345" t="s">
        <v>1542</v>
      </c>
      <c r="B345" t="s">
        <v>1544</v>
      </c>
      <c r="C345" t="s">
        <v>1545</v>
      </c>
      <c r="D345" t="s">
        <v>151</v>
      </c>
      <c r="E345" t="s">
        <v>32</v>
      </c>
      <c r="F345" t="s">
        <v>68</v>
      </c>
      <c r="G345">
        <v>1120</v>
      </c>
      <c r="H345">
        <v>1</v>
      </c>
      <c r="I345">
        <v>0.15</v>
      </c>
      <c r="J345">
        <v>132</v>
      </c>
      <c r="K345" t="s">
        <v>18</v>
      </c>
      <c r="L345" s="1">
        <v>45341</v>
      </c>
      <c r="M345" s="2" t="str">
        <f>TEXT(working_data_2[[#This Row],[Date]], "mmm-yy")</f>
        <v>Feb-24</v>
      </c>
      <c r="N345" s="4">
        <f>IFERROR(working_data_2[[#This Row],[Profit]]/working_data_2[[#This Row],[Sales Amount]], 0)</f>
        <v>0.11785714285714285</v>
      </c>
    </row>
    <row r="346" spans="1:14" x14ac:dyDescent="0.3">
      <c r="A346" t="s">
        <v>1554</v>
      </c>
      <c r="B346" t="s">
        <v>1556</v>
      </c>
      <c r="C346" t="s">
        <v>1557</v>
      </c>
      <c r="D346" t="s">
        <v>151</v>
      </c>
      <c r="E346" t="s">
        <v>32</v>
      </c>
      <c r="F346" t="s">
        <v>84</v>
      </c>
      <c r="G346">
        <v>382</v>
      </c>
      <c r="H346">
        <v>1</v>
      </c>
      <c r="I346">
        <v>0.1</v>
      </c>
      <c r="J346">
        <v>64</v>
      </c>
      <c r="K346" t="s">
        <v>26</v>
      </c>
      <c r="L346" s="1">
        <v>45344</v>
      </c>
      <c r="M346" s="2" t="str">
        <f>TEXT(working_data_2[[#This Row],[Date]], "mmm-yy")</f>
        <v>Feb-24</v>
      </c>
      <c r="N346" s="4">
        <f>IFERROR(working_data_2[[#This Row],[Profit]]/working_data_2[[#This Row],[Sales Amount]], 0)</f>
        <v>0.16753926701570682</v>
      </c>
    </row>
    <row r="347" spans="1:14" x14ac:dyDescent="0.3">
      <c r="A347" t="s">
        <v>1558</v>
      </c>
      <c r="B347" t="s">
        <v>1560</v>
      </c>
      <c r="C347" t="s">
        <v>1561</v>
      </c>
      <c r="D347" t="s">
        <v>151</v>
      </c>
      <c r="E347" t="s">
        <v>16</v>
      </c>
      <c r="F347" t="s">
        <v>89</v>
      </c>
      <c r="G347">
        <v>282</v>
      </c>
      <c r="H347">
        <v>2</v>
      </c>
      <c r="I347">
        <v>0.05</v>
      </c>
      <c r="J347">
        <v>54</v>
      </c>
      <c r="K347" t="s">
        <v>18</v>
      </c>
      <c r="L347" s="1">
        <v>45345</v>
      </c>
      <c r="M347" s="2" t="str">
        <f>TEXT(working_data_2[[#This Row],[Date]], "mmm-yy")</f>
        <v>Feb-24</v>
      </c>
      <c r="N347" s="4">
        <f>IFERROR(working_data_2[[#This Row],[Profit]]/working_data_2[[#This Row],[Sales Amount]], 0)</f>
        <v>0.19148936170212766</v>
      </c>
    </row>
    <row r="348" spans="1:14" x14ac:dyDescent="0.3">
      <c r="A348" t="s">
        <v>1562</v>
      </c>
      <c r="B348" t="s">
        <v>1564</v>
      </c>
      <c r="C348" t="s">
        <v>1565</v>
      </c>
      <c r="D348" t="s">
        <v>151</v>
      </c>
      <c r="E348" t="s">
        <v>45</v>
      </c>
      <c r="F348" t="s">
        <v>95</v>
      </c>
      <c r="G348">
        <v>182</v>
      </c>
      <c r="H348">
        <v>1</v>
      </c>
      <c r="I348">
        <v>0</v>
      </c>
      <c r="J348">
        <v>49</v>
      </c>
      <c r="K348" t="s">
        <v>26</v>
      </c>
      <c r="L348" s="1">
        <v>45346</v>
      </c>
      <c r="M348" s="2" t="str">
        <f>TEXT(working_data_2[[#This Row],[Date]], "mmm-yy")</f>
        <v>Feb-24</v>
      </c>
      <c r="N348" s="4">
        <f>IFERROR(working_data_2[[#This Row],[Profit]]/working_data_2[[#This Row],[Sales Amount]], 0)</f>
        <v>0.26923076923076922</v>
      </c>
    </row>
    <row r="349" spans="1:14" x14ac:dyDescent="0.3">
      <c r="A349" t="s">
        <v>1566</v>
      </c>
      <c r="B349" t="s">
        <v>1990</v>
      </c>
      <c r="C349" t="s">
        <v>1569</v>
      </c>
      <c r="D349" t="s">
        <v>151</v>
      </c>
      <c r="E349" t="s">
        <v>32</v>
      </c>
      <c r="F349" t="s">
        <v>100</v>
      </c>
      <c r="G349">
        <v>232</v>
      </c>
      <c r="H349">
        <v>1</v>
      </c>
      <c r="I349">
        <v>0.1</v>
      </c>
      <c r="J349">
        <v>44</v>
      </c>
      <c r="K349" t="s">
        <v>18</v>
      </c>
      <c r="L349" s="1">
        <v>45347</v>
      </c>
      <c r="M349" s="2" t="str">
        <f>TEXT(working_data_2[[#This Row],[Date]], "mmm-yy")</f>
        <v>Feb-24</v>
      </c>
      <c r="N349" s="4">
        <f>IFERROR(working_data_2[[#This Row],[Profit]]/working_data_2[[#This Row],[Sales Amount]], 0)</f>
        <v>0.18965517241379309</v>
      </c>
    </row>
    <row r="350" spans="1:14" x14ac:dyDescent="0.3">
      <c r="A350" t="s">
        <v>1570</v>
      </c>
      <c r="B350" t="s">
        <v>1572</v>
      </c>
      <c r="C350" t="s">
        <v>1573</v>
      </c>
      <c r="D350" t="s">
        <v>151</v>
      </c>
      <c r="E350" t="s">
        <v>16</v>
      </c>
      <c r="F350" t="s">
        <v>106</v>
      </c>
      <c r="G350">
        <v>232</v>
      </c>
      <c r="H350">
        <v>1</v>
      </c>
      <c r="I350">
        <v>0</v>
      </c>
      <c r="J350">
        <v>64</v>
      </c>
      <c r="K350" t="s">
        <v>26</v>
      </c>
      <c r="L350" s="1">
        <v>45348</v>
      </c>
      <c r="M350" s="2" t="str">
        <f>TEXT(working_data_2[[#This Row],[Date]], "mmm-yy")</f>
        <v>Feb-24</v>
      </c>
      <c r="N350" s="4">
        <f>IFERROR(working_data_2[[#This Row],[Profit]]/working_data_2[[#This Row],[Sales Amount]], 0)</f>
        <v>0.27586206896551724</v>
      </c>
    </row>
    <row r="351" spans="1:14" x14ac:dyDescent="0.3">
      <c r="A351" t="s">
        <v>1574</v>
      </c>
      <c r="B351" t="s">
        <v>1576</v>
      </c>
      <c r="C351" t="s">
        <v>1577</v>
      </c>
      <c r="D351" t="s">
        <v>151</v>
      </c>
      <c r="E351" t="s">
        <v>45</v>
      </c>
      <c r="F351" t="s">
        <v>112</v>
      </c>
      <c r="G351">
        <v>84</v>
      </c>
      <c r="H351">
        <v>2</v>
      </c>
      <c r="I351">
        <v>0.1</v>
      </c>
      <c r="J351">
        <v>23</v>
      </c>
      <c r="K351" t="s">
        <v>18</v>
      </c>
      <c r="L351" s="1">
        <v>45349</v>
      </c>
      <c r="M351" s="2" t="str">
        <f>TEXT(working_data_2[[#This Row],[Date]], "mmm-yy")</f>
        <v>Feb-24</v>
      </c>
      <c r="N351" s="4">
        <f>IFERROR(working_data_2[[#This Row],[Profit]]/working_data_2[[#This Row],[Sales Amount]], 0)</f>
        <v>0.27380952380952384</v>
      </c>
    </row>
    <row r="352" spans="1:14" x14ac:dyDescent="0.3">
      <c r="A352" t="s">
        <v>1578</v>
      </c>
      <c r="B352" t="s">
        <v>1580</v>
      </c>
      <c r="C352" t="s">
        <v>2004</v>
      </c>
      <c r="D352" t="s">
        <v>151</v>
      </c>
      <c r="E352" t="s">
        <v>32</v>
      </c>
      <c r="F352" t="s">
        <v>117</v>
      </c>
      <c r="G352">
        <v>1240</v>
      </c>
      <c r="H352">
        <v>1</v>
      </c>
      <c r="I352">
        <v>0.2</v>
      </c>
      <c r="J352">
        <v>182</v>
      </c>
      <c r="K352" t="s">
        <v>26</v>
      </c>
      <c r="L352" s="1">
        <v>45350</v>
      </c>
      <c r="M352" s="2" t="str">
        <f>TEXT(working_data_2[[#This Row],[Date]], "mmm-yy")</f>
        <v>Feb-24</v>
      </c>
      <c r="N352" s="4">
        <f>IFERROR(working_data_2[[#This Row],[Profit]]/working_data_2[[#This Row],[Sales Amount]], 0)</f>
        <v>0.14677419354838708</v>
      </c>
    </row>
    <row r="353" spans="1:14" x14ac:dyDescent="0.3">
      <c r="A353" t="s">
        <v>1581</v>
      </c>
      <c r="B353" t="s">
        <v>1583</v>
      </c>
      <c r="C353" t="s">
        <v>1584</v>
      </c>
      <c r="D353" t="s">
        <v>151</v>
      </c>
      <c r="E353" t="s">
        <v>16</v>
      </c>
      <c r="F353" t="s">
        <v>123</v>
      </c>
      <c r="G353">
        <v>840</v>
      </c>
      <c r="H353">
        <v>1</v>
      </c>
      <c r="I353">
        <v>0</v>
      </c>
      <c r="J353">
        <v>112</v>
      </c>
      <c r="K353" t="s">
        <v>18</v>
      </c>
      <c r="L353" s="1">
        <v>45351</v>
      </c>
      <c r="M353" s="2" t="str">
        <f>TEXT(working_data_2[[#This Row],[Date]], "mmm-yy")</f>
        <v>Feb-24</v>
      </c>
      <c r="N353" s="4">
        <f>IFERROR(working_data_2[[#This Row],[Profit]]/working_data_2[[#This Row],[Sales Amount]], 0)</f>
        <v>0.13333333333333333</v>
      </c>
    </row>
    <row r="354" spans="1:14" x14ac:dyDescent="0.3">
      <c r="A354" t="s">
        <v>1585</v>
      </c>
      <c r="B354" t="s">
        <v>1587</v>
      </c>
      <c r="C354" t="s">
        <v>1588</v>
      </c>
      <c r="D354" t="s">
        <v>151</v>
      </c>
      <c r="E354" t="s">
        <v>45</v>
      </c>
      <c r="F354" t="s">
        <v>129</v>
      </c>
      <c r="G354">
        <v>54</v>
      </c>
      <c r="H354">
        <v>3</v>
      </c>
      <c r="I354">
        <v>0</v>
      </c>
      <c r="J354">
        <v>17</v>
      </c>
      <c r="K354" t="s">
        <v>26</v>
      </c>
      <c r="L354" s="1">
        <v>45352</v>
      </c>
      <c r="M354" s="2" t="str">
        <f>TEXT(working_data_2[[#This Row],[Date]], "mmm-yy")</f>
        <v>Mar-24</v>
      </c>
      <c r="N354" s="4">
        <f>IFERROR(working_data_2[[#This Row],[Profit]]/working_data_2[[#This Row],[Sales Amount]], 0)</f>
        <v>0.31481481481481483</v>
      </c>
    </row>
    <row r="355" spans="1:14" x14ac:dyDescent="0.3">
      <c r="A355" t="s">
        <v>1593</v>
      </c>
      <c r="B355" t="s">
        <v>1595</v>
      </c>
      <c r="C355" t="s">
        <v>1596</v>
      </c>
      <c r="D355" t="s">
        <v>151</v>
      </c>
      <c r="E355" t="s">
        <v>16</v>
      </c>
      <c r="F355" t="s">
        <v>141</v>
      </c>
      <c r="G355">
        <v>104</v>
      </c>
      <c r="H355">
        <v>2</v>
      </c>
      <c r="I355">
        <v>0.1</v>
      </c>
      <c r="J355">
        <v>37</v>
      </c>
      <c r="K355" t="s">
        <v>26</v>
      </c>
      <c r="L355" s="1">
        <v>45354</v>
      </c>
      <c r="M355" s="2" t="str">
        <f>TEXT(working_data_2[[#This Row],[Date]], "mmm-yy")</f>
        <v>Mar-24</v>
      </c>
      <c r="N355" s="4">
        <f>IFERROR(working_data_2[[#This Row],[Profit]]/working_data_2[[#This Row],[Sales Amount]], 0)</f>
        <v>0.35576923076923078</v>
      </c>
    </row>
    <row r="356" spans="1:14" x14ac:dyDescent="0.3">
      <c r="A356" t="s">
        <v>1597</v>
      </c>
      <c r="B356" t="s">
        <v>1599</v>
      </c>
      <c r="C356" t="s">
        <v>1600</v>
      </c>
      <c r="D356" t="s">
        <v>151</v>
      </c>
      <c r="E356" t="s">
        <v>45</v>
      </c>
      <c r="F356" t="s">
        <v>146</v>
      </c>
      <c r="G356">
        <v>37</v>
      </c>
      <c r="H356">
        <v>5</v>
      </c>
      <c r="I356">
        <v>0</v>
      </c>
      <c r="J356">
        <v>17</v>
      </c>
      <c r="K356" t="s">
        <v>18</v>
      </c>
      <c r="L356" s="1">
        <v>45385</v>
      </c>
      <c r="M356" s="2" t="str">
        <f>TEXT(working_data_2[[#This Row],[Date]], "mmm-yy")</f>
        <v>Apr-24</v>
      </c>
      <c r="N356" s="4">
        <f>IFERROR(working_data_2[[#This Row],[Profit]]/working_data_2[[#This Row],[Sales Amount]], 0)</f>
        <v>0.45945945945945948</v>
      </c>
    </row>
    <row r="357" spans="1:14" x14ac:dyDescent="0.3">
      <c r="A357" t="s">
        <v>1601</v>
      </c>
      <c r="B357" t="s">
        <v>1603</v>
      </c>
      <c r="C357" t="s">
        <v>1604</v>
      </c>
      <c r="D357" t="s">
        <v>151</v>
      </c>
      <c r="E357" t="s">
        <v>32</v>
      </c>
      <c r="F357" t="s">
        <v>152</v>
      </c>
      <c r="G357">
        <v>64</v>
      </c>
      <c r="H357">
        <v>4</v>
      </c>
      <c r="I357">
        <v>0</v>
      </c>
      <c r="J357">
        <v>23</v>
      </c>
      <c r="K357" t="s">
        <v>26</v>
      </c>
      <c r="L357" s="1">
        <v>45356</v>
      </c>
      <c r="M357" s="2" t="str">
        <f>TEXT(working_data_2[[#This Row],[Date]], "mmm-yy")</f>
        <v>Mar-24</v>
      </c>
      <c r="N357" s="4">
        <f>IFERROR(working_data_2[[#This Row],[Profit]]/working_data_2[[#This Row],[Sales Amount]], 0)</f>
        <v>0.359375</v>
      </c>
    </row>
    <row r="358" spans="1:14" x14ac:dyDescent="0.3">
      <c r="A358" t="s">
        <v>1605</v>
      </c>
      <c r="B358" t="s">
        <v>1607</v>
      </c>
      <c r="C358" t="s">
        <v>681</v>
      </c>
      <c r="D358" t="s">
        <v>151</v>
      </c>
      <c r="E358" t="s">
        <v>16</v>
      </c>
      <c r="F358" t="s">
        <v>158</v>
      </c>
      <c r="G358">
        <v>74</v>
      </c>
      <c r="H358">
        <v>2</v>
      </c>
      <c r="I358">
        <v>0</v>
      </c>
      <c r="J358">
        <v>23</v>
      </c>
      <c r="K358" t="s">
        <v>18</v>
      </c>
      <c r="L358" s="1">
        <v>45357</v>
      </c>
      <c r="M358" s="2" t="str">
        <f>TEXT(working_data_2[[#This Row],[Date]], "mmm-yy")</f>
        <v>Mar-24</v>
      </c>
      <c r="N358" s="4">
        <f>IFERROR(working_data_2[[#This Row],[Profit]]/working_data_2[[#This Row],[Sales Amount]], 0)</f>
        <v>0.3108108108108108</v>
      </c>
    </row>
    <row r="359" spans="1:14" x14ac:dyDescent="0.3">
      <c r="A359" t="s">
        <v>1608</v>
      </c>
      <c r="B359" t="s">
        <v>1610</v>
      </c>
      <c r="C359" t="s">
        <v>2004</v>
      </c>
      <c r="D359" t="s">
        <v>151</v>
      </c>
      <c r="E359" t="s">
        <v>45</v>
      </c>
      <c r="F359" t="s">
        <v>163</v>
      </c>
      <c r="G359">
        <v>44</v>
      </c>
      <c r="H359">
        <v>1</v>
      </c>
      <c r="I359">
        <v>0</v>
      </c>
      <c r="J359">
        <v>17</v>
      </c>
      <c r="K359" t="s">
        <v>26</v>
      </c>
      <c r="L359" s="1">
        <v>45476</v>
      </c>
      <c r="M359" s="2" t="str">
        <f>TEXT(working_data_2[[#This Row],[Date]], "mmm-yy")</f>
        <v>Jul-24</v>
      </c>
      <c r="N359" s="4">
        <f>IFERROR(working_data_2[[#This Row],[Profit]]/working_data_2[[#This Row],[Sales Amount]], 0)</f>
        <v>0.38636363636363635</v>
      </c>
    </row>
    <row r="360" spans="1:14" x14ac:dyDescent="0.3">
      <c r="A360" t="s">
        <v>1611</v>
      </c>
      <c r="B360" t="s">
        <v>1613</v>
      </c>
      <c r="C360" t="s">
        <v>1614</v>
      </c>
      <c r="D360" t="s">
        <v>151</v>
      </c>
      <c r="E360" t="s">
        <v>32</v>
      </c>
      <c r="F360" t="s">
        <v>168</v>
      </c>
      <c r="G360">
        <v>84</v>
      </c>
      <c r="H360">
        <v>2</v>
      </c>
      <c r="I360">
        <v>0.1</v>
      </c>
      <c r="J360">
        <v>23</v>
      </c>
      <c r="K360" t="s">
        <v>18</v>
      </c>
      <c r="L360" s="1">
        <v>45359</v>
      </c>
      <c r="M360" s="2" t="str">
        <f>TEXT(working_data_2[[#This Row],[Date]], "mmm-yy")</f>
        <v>Mar-24</v>
      </c>
      <c r="N360" s="4">
        <f>IFERROR(working_data_2[[#This Row],[Profit]]/working_data_2[[#This Row],[Sales Amount]], 0)</f>
        <v>0.27380952380952384</v>
      </c>
    </row>
    <row r="361" spans="1:14" x14ac:dyDescent="0.3">
      <c r="A361" t="s">
        <v>1615</v>
      </c>
      <c r="B361" t="s">
        <v>1617</v>
      </c>
      <c r="C361" t="s">
        <v>1618</v>
      </c>
      <c r="D361" t="s">
        <v>151</v>
      </c>
      <c r="E361" t="s">
        <v>16</v>
      </c>
      <c r="F361" t="s">
        <v>174</v>
      </c>
      <c r="G361">
        <v>49</v>
      </c>
      <c r="H361">
        <v>3</v>
      </c>
      <c r="I361">
        <v>0</v>
      </c>
      <c r="J361">
        <v>17</v>
      </c>
      <c r="K361" t="s">
        <v>26</v>
      </c>
      <c r="L361" s="1">
        <v>45538</v>
      </c>
      <c r="M361" s="2" t="str">
        <f>TEXT(working_data_2[[#This Row],[Date]], "mmm-yy")</f>
        <v>Sep-24</v>
      </c>
      <c r="N361" s="4">
        <f>IFERROR(working_data_2[[#This Row],[Profit]]/working_data_2[[#This Row],[Sales Amount]], 0)</f>
        <v>0.34693877551020408</v>
      </c>
    </row>
    <row r="362" spans="1:14" x14ac:dyDescent="0.3">
      <c r="A362" t="s">
        <v>1619</v>
      </c>
      <c r="B362" t="s">
        <v>1991</v>
      </c>
      <c r="C362" t="s">
        <v>172</v>
      </c>
      <c r="D362" t="s">
        <v>173</v>
      </c>
      <c r="E362" t="s">
        <v>16</v>
      </c>
      <c r="F362" t="s">
        <v>17</v>
      </c>
      <c r="G362">
        <v>1310</v>
      </c>
      <c r="H362">
        <v>1</v>
      </c>
      <c r="I362">
        <v>0.1</v>
      </c>
      <c r="J362">
        <v>174</v>
      </c>
      <c r="K362" t="s">
        <v>18</v>
      </c>
      <c r="L362" s="1">
        <v>45568</v>
      </c>
      <c r="M362" s="2" t="str">
        <f>TEXT(working_data_2[[#This Row],[Date]], "mmm-yy")</f>
        <v>Oct-24</v>
      </c>
      <c r="N362" s="4">
        <f>IFERROR(working_data_2[[#This Row],[Profit]]/working_data_2[[#This Row],[Sales Amount]], 0)</f>
        <v>0.13282442748091602</v>
      </c>
    </row>
    <row r="363" spans="1:14" x14ac:dyDescent="0.3">
      <c r="A363" t="s">
        <v>1622</v>
      </c>
      <c r="B363" t="s">
        <v>1992</v>
      </c>
      <c r="C363" t="s">
        <v>1625</v>
      </c>
      <c r="D363" t="s">
        <v>173</v>
      </c>
      <c r="E363" t="s">
        <v>45</v>
      </c>
      <c r="F363" t="s">
        <v>25</v>
      </c>
      <c r="G363">
        <v>37</v>
      </c>
      <c r="H363">
        <v>2</v>
      </c>
      <c r="I363">
        <v>0</v>
      </c>
      <c r="J363">
        <v>22</v>
      </c>
      <c r="K363" t="s">
        <v>26</v>
      </c>
      <c r="L363" s="1">
        <v>45362</v>
      </c>
      <c r="M363" s="2" t="str">
        <f>TEXT(working_data_2[[#This Row],[Date]], "mmm-yy")</f>
        <v>Mar-24</v>
      </c>
      <c r="N363" s="4">
        <f>IFERROR(working_data_2[[#This Row],[Profit]]/working_data_2[[#This Row],[Sales Amount]], 0)</f>
        <v>0.59459459459459463</v>
      </c>
    </row>
    <row r="364" spans="1:14" x14ac:dyDescent="0.3">
      <c r="A364" t="s">
        <v>1629</v>
      </c>
      <c r="B364" t="s">
        <v>1993</v>
      </c>
      <c r="C364" t="s">
        <v>1632</v>
      </c>
      <c r="D364" t="s">
        <v>173</v>
      </c>
      <c r="E364" t="s">
        <v>16</v>
      </c>
      <c r="F364" t="s">
        <v>39</v>
      </c>
      <c r="G364">
        <v>1040</v>
      </c>
      <c r="H364">
        <v>1</v>
      </c>
      <c r="I364">
        <v>0.05</v>
      </c>
      <c r="J364">
        <v>134</v>
      </c>
      <c r="K364" t="s">
        <v>18</v>
      </c>
      <c r="L364" s="1">
        <v>45364</v>
      </c>
      <c r="M364" s="2" t="str">
        <f>TEXT(working_data_2[[#This Row],[Date]], "mmm-yy")</f>
        <v>Mar-24</v>
      </c>
      <c r="N364" s="4">
        <f>IFERROR(working_data_2[[#This Row],[Profit]]/working_data_2[[#This Row],[Sales Amount]], 0)</f>
        <v>0.12884615384615383</v>
      </c>
    </row>
    <row r="365" spans="1:14" x14ac:dyDescent="0.3">
      <c r="A365" t="s">
        <v>1633</v>
      </c>
      <c r="B365" t="s">
        <v>1635</v>
      </c>
      <c r="C365" t="s">
        <v>1636</v>
      </c>
      <c r="D365" t="s">
        <v>173</v>
      </c>
      <c r="E365" t="s">
        <v>45</v>
      </c>
      <c r="F365" t="s">
        <v>46</v>
      </c>
      <c r="G365">
        <v>76</v>
      </c>
      <c r="H365">
        <v>3</v>
      </c>
      <c r="I365">
        <v>0</v>
      </c>
      <c r="J365">
        <v>39</v>
      </c>
      <c r="K365" t="s">
        <v>26</v>
      </c>
      <c r="L365" s="1">
        <v>45365</v>
      </c>
      <c r="M365" s="2" t="str">
        <f>TEXT(working_data_2[[#This Row],[Date]], "mmm-yy")</f>
        <v>Mar-24</v>
      </c>
      <c r="N365" s="4">
        <f>IFERROR(working_data_2[[#This Row],[Profit]]/working_data_2[[#This Row],[Sales Amount]], 0)</f>
        <v>0.51315789473684215</v>
      </c>
    </row>
    <row r="366" spans="1:14" x14ac:dyDescent="0.3">
      <c r="A366" t="s">
        <v>1637</v>
      </c>
      <c r="B366" t="s">
        <v>1639</v>
      </c>
      <c r="C366" t="s">
        <v>1640</v>
      </c>
      <c r="D366" t="s">
        <v>173</v>
      </c>
      <c r="E366" t="s">
        <v>32</v>
      </c>
      <c r="F366" t="s">
        <v>53</v>
      </c>
      <c r="G366">
        <v>184</v>
      </c>
      <c r="H366">
        <v>4</v>
      </c>
      <c r="I366">
        <v>0.1</v>
      </c>
      <c r="J366">
        <v>42</v>
      </c>
      <c r="K366" t="s">
        <v>26</v>
      </c>
      <c r="L366" s="1">
        <v>45366</v>
      </c>
      <c r="M366" s="2" t="str">
        <f>TEXT(working_data_2[[#This Row],[Date]], "mmm-yy")</f>
        <v>Mar-24</v>
      </c>
      <c r="N366" s="4">
        <f>IFERROR(working_data_2[[#This Row],[Profit]]/working_data_2[[#This Row],[Sales Amount]], 0)</f>
        <v>0.22826086956521738</v>
      </c>
    </row>
    <row r="367" spans="1:14" x14ac:dyDescent="0.3">
      <c r="A367" t="s">
        <v>1641</v>
      </c>
      <c r="B367" t="s">
        <v>1643</v>
      </c>
      <c r="C367" t="s">
        <v>1644</v>
      </c>
      <c r="D367" t="s">
        <v>173</v>
      </c>
      <c r="E367" t="s">
        <v>16</v>
      </c>
      <c r="F367" t="s">
        <v>59</v>
      </c>
      <c r="G367">
        <v>334</v>
      </c>
      <c r="H367">
        <v>2</v>
      </c>
      <c r="I367">
        <v>0</v>
      </c>
      <c r="J367">
        <v>66</v>
      </c>
      <c r="K367" t="s">
        <v>18</v>
      </c>
      <c r="L367" s="1">
        <v>45367</v>
      </c>
      <c r="M367" s="2" t="str">
        <f>TEXT(working_data_2[[#This Row],[Date]], "mmm-yy")</f>
        <v>Mar-24</v>
      </c>
      <c r="N367" s="4">
        <f>IFERROR(working_data_2[[#This Row],[Profit]]/working_data_2[[#This Row],[Sales Amount]], 0)</f>
        <v>0.19760479041916168</v>
      </c>
    </row>
    <row r="368" spans="1:14" x14ac:dyDescent="0.3">
      <c r="A368" t="s">
        <v>1645</v>
      </c>
      <c r="B368" t="s">
        <v>1647</v>
      </c>
      <c r="C368" t="s">
        <v>2004</v>
      </c>
      <c r="D368" t="s">
        <v>173</v>
      </c>
      <c r="E368" t="s">
        <v>45</v>
      </c>
      <c r="F368" t="s">
        <v>63</v>
      </c>
      <c r="G368">
        <v>104</v>
      </c>
      <c r="H368">
        <v>1</v>
      </c>
      <c r="I368">
        <v>0.2</v>
      </c>
      <c r="J368">
        <v>39</v>
      </c>
      <c r="K368" t="s">
        <v>26</v>
      </c>
      <c r="L368" s="1">
        <v>45368</v>
      </c>
      <c r="M368" s="2" t="str">
        <f>TEXT(working_data_2[[#This Row],[Date]], "mmm-yy")</f>
        <v>Mar-24</v>
      </c>
      <c r="N368" s="4">
        <f>IFERROR(working_data_2[[#This Row],[Profit]]/working_data_2[[#This Row],[Sales Amount]], 0)</f>
        <v>0.375</v>
      </c>
    </row>
    <row r="369" spans="1:14" x14ac:dyDescent="0.3">
      <c r="A369" t="s">
        <v>1648</v>
      </c>
      <c r="B369" t="s">
        <v>1994</v>
      </c>
      <c r="C369" t="s">
        <v>1651</v>
      </c>
      <c r="D369" t="s">
        <v>173</v>
      </c>
      <c r="E369" t="s">
        <v>32</v>
      </c>
      <c r="F369" t="s">
        <v>68</v>
      </c>
      <c r="G369">
        <v>1140</v>
      </c>
      <c r="H369">
        <v>1</v>
      </c>
      <c r="I369">
        <v>0.15</v>
      </c>
      <c r="J369">
        <v>134</v>
      </c>
      <c r="K369" t="s">
        <v>18</v>
      </c>
      <c r="L369" s="1">
        <v>45369</v>
      </c>
      <c r="M369" s="2" t="str">
        <f>TEXT(working_data_2[[#This Row],[Date]], "mmm-yy")</f>
        <v>Mar-24</v>
      </c>
      <c r="N369" s="4">
        <f>IFERROR(working_data_2[[#This Row],[Profit]]/working_data_2[[#This Row],[Sales Amount]], 0)</f>
        <v>0.11754385964912281</v>
      </c>
    </row>
    <row r="370" spans="1:14" x14ac:dyDescent="0.3">
      <c r="A370" t="s">
        <v>1660</v>
      </c>
      <c r="B370" t="s">
        <v>1662</v>
      </c>
      <c r="C370" t="s">
        <v>1663</v>
      </c>
      <c r="D370" t="s">
        <v>173</v>
      </c>
      <c r="E370" t="s">
        <v>32</v>
      </c>
      <c r="F370" t="s">
        <v>84</v>
      </c>
      <c r="G370">
        <v>384</v>
      </c>
      <c r="H370">
        <v>1</v>
      </c>
      <c r="I370">
        <v>0.1</v>
      </c>
      <c r="J370">
        <v>66</v>
      </c>
      <c r="K370" t="s">
        <v>26</v>
      </c>
      <c r="L370" s="1">
        <v>45372</v>
      </c>
      <c r="M370" s="2" t="str">
        <f>TEXT(working_data_2[[#This Row],[Date]], "mmm-yy")</f>
        <v>Mar-24</v>
      </c>
      <c r="N370" s="4">
        <f>IFERROR(working_data_2[[#This Row],[Profit]]/working_data_2[[#This Row],[Sales Amount]], 0)</f>
        <v>0.171875</v>
      </c>
    </row>
    <row r="371" spans="1:14" x14ac:dyDescent="0.3">
      <c r="A371" t="s">
        <v>1664</v>
      </c>
      <c r="B371" t="s">
        <v>1666</v>
      </c>
      <c r="C371" t="s">
        <v>1667</v>
      </c>
      <c r="D371" t="s">
        <v>173</v>
      </c>
      <c r="E371" t="s">
        <v>16</v>
      </c>
      <c r="F371" t="s">
        <v>89</v>
      </c>
      <c r="G371">
        <v>284</v>
      </c>
      <c r="H371">
        <v>2</v>
      </c>
      <c r="I371">
        <v>0.05</v>
      </c>
      <c r="J371">
        <v>56</v>
      </c>
      <c r="K371" t="s">
        <v>18</v>
      </c>
      <c r="L371" s="1">
        <v>45373</v>
      </c>
      <c r="M371" s="2" t="str">
        <f>TEXT(working_data_2[[#This Row],[Date]], "mmm-yy")</f>
        <v>Mar-24</v>
      </c>
      <c r="N371" s="4">
        <f>IFERROR(working_data_2[[#This Row],[Profit]]/working_data_2[[#This Row],[Sales Amount]], 0)</f>
        <v>0.19718309859154928</v>
      </c>
    </row>
    <row r="372" spans="1:14" x14ac:dyDescent="0.3">
      <c r="A372" t="s">
        <v>1668</v>
      </c>
      <c r="B372" t="s">
        <v>1670</v>
      </c>
      <c r="C372" t="s">
        <v>1671</v>
      </c>
      <c r="D372" t="s">
        <v>173</v>
      </c>
      <c r="E372" t="s">
        <v>45</v>
      </c>
      <c r="F372" t="s">
        <v>95</v>
      </c>
      <c r="G372">
        <v>184</v>
      </c>
      <c r="H372">
        <v>1</v>
      </c>
      <c r="I372">
        <v>0</v>
      </c>
      <c r="J372">
        <v>51</v>
      </c>
      <c r="K372" t="s">
        <v>26</v>
      </c>
      <c r="L372" s="1">
        <v>45374</v>
      </c>
      <c r="M372" s="2" t="str">
        <f>TEXT(working_data_2[[#This Row],[Date]], "mmm-yy")</f>
        <v>Mar-24</v>
      </c>
      <c r="N372" s="4">
        <f>IFERROR(working_data_2[[#This Row],[Profit]]/working_data_2[[#This Row],[Sales Amount]], 0)</f>
        <v>0.27717391304347827</v>
      </c>
    </row>
    <row r="373" spans="1:14" x14ac:dyDescent="0.3">
      <c r="A373" t="s">
        <v>1672</v>
      </c>
      <c r="B373" t="s">
        <v>1674</v>
      </c>
      <c r="C373" t="s">
        <v>1675</v>
      </c>
      <c r="D373" t="s">
        <v>173</v>
      </c>
      <c r="E373" t="s">
        <v>32</v>
      </c>
      <c r="F373" t="s">
        <v>100</v>
      </c>
      <c r="G373">
        <v>234</v>
      </c>
      <c r="H373">
        <v>1</v>
      </c>
      <c r="I373">
        <v>0.1</v>
      </c>
      <c r="J373">
        <v>46</v>
      </c>
      <c r="K373" t="s">
        <v>18</v>
      </c>
      <c r="L373" s="1">
        <v>45375</v>
      </c>
      <c r="M373" s="2" t="str">
        <f>TEXT(working_data_2[[#This Row],[Date]], "mmm-yy")</f>
        <v>Mar-24</v>
      </c>
      <c r="N373" s="4">
        <f>IFERROR(working_data_2[[#This Row],[Profit]]/working_data_2[[#This Row],[Sales Amount]], 0)</f>
        <v>0.19658119658119658</v>
      </c>
    </row>
    <row r="374" spans="1:14" x14ac:dyDescent="0.3">
      <c r="A374" t="s">
        <v>1676</v>
      </c>
      <c r="B374" t="s">
        <v>1678</v>
      </c>
      <c r="C374" t="s">
        <v>1679</v>
      </c>
      <c r="D374" t="s">
        <v>173</v>
      </c>
      <c r="E374" t="s">
        <v>16</v>
      </c>
      <c r="F374" t="s">
        <v>106</v>
      </c>
      <c r="G374">
        <v>234</v>
      </c>
      <c r="H374">
        <v>1</v>
      </c>
      <c r="I374">
        <v>0</v>
      </c>
      <c r="J374">
        <v>66</v>
      </c>
      <c r="K374" t="s">
        <v>26</v>
      </c>
      <c r="L374" s="1">
        <v>45376</v>
      </c>
      <c r="M374" s="2" t="str">
        <f>TEXT(working_data_2[[#This Row],[Date]], "mmm-yy")</f>
        <v>Mar-24</v>
      </c>
      <c r="N374" s="4">
        <f>IFERROR(working_data_2[[#This Row],[Profit]]/working_data_2[[#This Row],[Sales Amount]], 0)</f>
        <v>0.28205128205128205</v>
      </c>
    </row>
    <row r="375" spans="1:14" x14ac:dyDescent="0.3">
      <c r="A375" t="s">
        <v>1680</v>
      </c>
      <c r="B375" t="s">
        <v>1682</v>
      </c>
      <c r="C375" t="s">
        <v>1683</v>
      </c>
      <c r="D375" t="s">
        <v>173</v>
      </c>
      <c r="E375" t="s">
        <v>45</v>
      </c>
      <c r="F375" t="s">
        <v>112</v>
      </c>
      <c r="G375">
        <v>86</v>
      </c>
      <c r="H375">
        <v>2</v>
      </c>
      <c r="I375">
        <v>0.1</v>
      </c>
      <c r="J375">
        <v>24</v>
      </c>
      <c r="K375" t="s">
        <v>18</v>
      </c>
      <c r="L375" s="1">
        <v>45377</v>
      </c>
      <c r="M375" s="2" t="str">
        <f>TEXT(working_data_2[[#This Row],[Date]], "mmm-yy")</f>
        <v>Mar-24</v>
      </c>
      <c r="N375" s="4">
        <f>IFERROR(working_data_2[[#This Row],[Profit]]/working_data_2[[#This Row],[Sales Amount]], 0)</f>
        <v>0.27906976744186046</v>
      </c>
    </row>
    <row r="376" spans="1:14" x14ac:dyDescent="0.3">
      <c r="A376" t="s">
        <v>1684</v>
      </c>
      <c r="B376" t="s">
        <v>1686</v>
      </c>
      <c r="C376" t="s">
        <v>2004</v>
      </c>
      <c r="D376" t="s">
        <v>173</v>
      </c>
      <c r="E376" t="s">
        <v>32</v>
      </c>
      <c r="F376" t="s">
        <v>117</v>
      </c>
      <c r="G376">
        <v>1260</v>
      </c>
      <c r="H376">
        <v>1</v>
      </c>
      <c r="I376">
        <v>0.2</v>
      </c>
      <c r="J376">
        <v>184</v>
      </c>
      <c r="K376" t="s">
        <v>26</v>
      </c>
      <c r="L376" s="1">
        <v>45378</v>
      </c>
      <c r="M376" s="2" t="str">
        <f>TEXT(working_data_2[[#This Row],[Date]], "mmm-yy")</f>
        <v>Mar-24</v>
      </c>
      <c r="N376" s="4">
        <f>IFERROR(working_data_2[[#This Row],[Profit]]/working_data_2[[#This Row],[Sales Amount]], 0)</f>
        <v>0.14603174603174604</v>
      </c>
    </row>
    <row r="377" spans="1:14" x14ac:dyDescent="0.3">
      <c r="A377" t="s">
        <v>1687</v>
      </c>
      <c r="B377" t="s">
        <v>1995</v>
      </c>
      <c r="C377" t="s">
        <v>1690</v>
      </c>
      <c r="D377" t="s">
        <v>173</v>
      </c>
      <c r="E377" t="s">
        <v>16</v>
      </c>
      <c r="F377" t="s">
        <v>123</v>
      </c>
      <c r="G377">
        <v>860</v>
      </c>
      <c r="H377">
        <v>1</v>
      </c>
      <c r="I377">
        <v>0</v>
      </c>
      <c r="J377">
        <v>114</v>
      </c>
      <c r="K377" t="s">
        <v>18</v>
      </c>
      <c r="L377" s="1">
        <v>45379</v>
      </c>
      <c r="M377" s="2" t="str">
        <f>TEXT(working_data_2[[#This Row],[Date]], "mmm-yy")</f>
        <v>Mar-24</v>
      </c>
      <c r="N377" s="4">
        <f>IFERROR(working_data_2[[#This Row],[Profit]]/working_data_2[[#This Row],[Sales Amount]], 0)</f>
        <v>0.13255813953488371</v>
      </c>
    </row>
    <row r="378" spans="1:14" x14ac:dyDescent="0.3">
      <c r="A378" t="s">
        <v>1691</v>
      </c>
      <c r="B378" t="s">
        <v>1693</v>
      </c>
      <c r="C378" t="s">
        <v>1694</v>
      </c>
      <c r="D378" t="s">
        <v>173</v>
      </c>
      <c r="E378" t="s">
        <v>45</v>
      </c>
      <c r="F378" t="s">
        <v>129</v>
      </c>
      <c r="G378">
        <v>56</v>
      </c>
      <c r="H378">
        <v>3</v>
      </c>
      <c r="I378">
        <v>0</v>
      </c>
      <c r="J378">
        <v>18</v>
      </c>
      <c r="K378" t="s">
        <v>26</v>
      </c>
      <c r="L378" s="1">
        <v>45380</v>
      </c>
      <c r="M378" s="2" t="str">
        <f>TEXT(working_data_2[[#This Row],[Date]], "mmm-yy")</f>
        <v>Mar-24</v>
      </c>
      <c r="N378" s="4">
        <f>IFERROR(working_data_2[[#This Row],[Profit]]/working_data_2[[#This Row],[Sales Amount]], 0)</f>
        <v>0.32142857142857145</v>
      </c>
    </row>
    <row r="379" spans="1:14" x14ac:dyDescent="0.3">
      <c r="A379" t="s">
        <v>1699</v>
      </c>
      <c r="B379" t="s">
        <v>1701</v>
      </c>
      <c r="C379" t="s">
        <v>1702</v>
      </c>
      <c r="D379" t="s">
        <v>173</v>
      </c>
      <c r="E379" t="s">
        <v>16</v>
      </c>
      <c r="F379" t="s">
        <v>141</v>
      </c>
      <c r="G379">
        <v>106</v>
      </c>
      <c r="H379">
        <v>2</v>
      </c>
      <c r="I379">
        <v>0.1</v>
      </c>
      <c r="J379">
        <v>39</v>
      </c>
      <c r="K379" t="s">
        <v>26</v>
      </c>
      <c r="L379" s="1">
        <v>45382</v>
      </c>
      <c r="M379" s="2" t="str">
        <f>TEXT(working_data_2[[#This Row],[Date]], "mmm-yy")</f>
        <v>Mar-24</v>
      </c>
      <c r="N379" s="4">
        <f>IFERROR(working_data_2[[#This Row],[Profit]]/working_data_2[[#This Row],[Sales Amount]], 0)</f>
        <v>0.36792452830188677</v>
      </c>
    </row>
    <row r="380" spans="1:14" x14ac:dyDescent="0.3">
      <c r="A380" t="s">
        <v>1703</v>
      </c>
      <c r="B380" t="s">
        <v>1705</v>
      </c>
      <c r="C380" t="s">
        <v>1706</v>
      </c>
      <c r="D380" t="s">
        <v>173</v>
      </c>
      <c r="E380" t="s">
        <v>45</v>
      </c>
      <c r="F380" t="s">
        <v>146</v>
      </c>
      <c r="G380">
        <v>39</v>
      </c>
      <c r="H380">
        <v>5</v>
      </c>
      <c r="I380">
        <v>0</v>
      </c>
      <c r="J380">
        <v>18</v>
      </c>
      <c r="K380" t="s">
        <v>18</v>
      </c>
      <c r="L380" s="1">
        <v>45295</v>
      </c>
      <c r="M380" s="2" t="str">
        <f>TEXT(working_data_2[[#This Row],[Date]], "mmm-yy")</f>
        <v>Jan-24</v>
      </c>
      <c r="N380" s="4">
        <f>IFERROR(working_data_2[[#This Row],[Profit]]/working_data_2[[#This Row],[Sales Amount]], 0)</f>
        <v>0.46153846153846156</v>
      </c>
    </row>
    <row r="381" spans="1:14" x14ac:dyDescent="0.3">
      <c r="A381" t="s">
        <v>1707</v>
      </c>
      <c r="B381" t="s">
        <v>1709</v>
      </c>
      <c r="C381" t="s">
        <v>1710</v>
      </c>
      <c r="D381" t="s">
        <v>173</v>
      </c>
      <c r="E381" t="s">
        <v>32</v>
      </c>
      <c r="F381" t="s">
        <v>152</v>
      </c>
      <c r="G381">
        <v>66</v>
      </c>
      <c r="H381">
        <v>4</v>
      </c>
      <c r="I381">
        <v>0</v>
      </c>
      <c r="J381">
        <v>24</v>
      </c>
      <c r="K381" t="s">
        <v>26</v>
      </c>
      <c r="L381" s="1">
        <v>45384</v>
      </c>
      <c r="M381" s="2" t="str">
        <f>TEXT(working_data_2[[#This Row],[Date]], "mmm-yy")</f>
        <v>Apr-24</v>
      </c>
      <c r="N381" s="4">
        <f>IFERROR(working_data_2[[#This Row],[Profit]]/working_data_2[[#This Row],[Sales Amount]], 0)</f>
        <v>0.36363636363636365</v>
      </c>
    </row>
    <row r="382" spans="1:14" x14ac:dyDescent="0.3">
      <c r="A382" t="s">
        <v>1711</v>
      </c>
      <c r="B382" t="s">
        <v>1713</v>
      </c>
      <c r="C382" t="s">
        <v>1714</v>
      </c>
      <c r="D382" t="s">
        <v>173</v>
      </c>
      <c r="E382" t="s">
        <v>16</v>
      </c>
      <c r="F382" t="s">
        <v>158</v>
      </c>
      <c r="G382">
        <v>76</v>
      </c>
      <c r="H382">
        <v>2</v>
      </c>
      <c r="I382">
        <v>0</v>
      </c>
      <c r="J382">
        <v>24</v>
      </c>
      <c r="K382" t="s">
        <v>18</v>
      </c>
      <c r="L382" s="1">
        <v>45385</v>
      </c>
      <c r="M382" s="2" t="str">
        <f>TEXT(working_data_2[[#This Row],[Date]], "mmm-yy")</f>
        <v>Apr-24</v>
      </c>
      <c r="N382" s="4">
        <f>IFERROR(working_data_2[[#This Row],[Profit]]/working_data_2[[#This Row],[Sales Amount]], 0)</f>
        <v>0.31578947368421051</v>
      </c>
    </row>
    <row r="383" spans="1:14" x14ac:dyDescent="0.3">
      <c r="A383" t="s">
        <v>1715</v>
      </c>
      <c r="B383" t="s">
        <v>1717</v>
      </c>
      <c r="C383" t="s">
        <v>2004</v>
      </c>
      <c r="D383" t="s">
        <v>173</v>
      </c>
      <c r="E383" t="s">
        <v>45</v>
      </c>
      <c r="F383" t="s">
        <v>163</v>
      </c>
      <c r="G383">
        <v>46</v>
      </c>
      <c r="H383">
        <v>1</v>
      </c>
      <c r="I383">
        <v>0</v>
      </c>
      <c r="J383">
        <v>18</v>
      </c>
      <c r="K383" t="s">
        <v>26</v>
      </c>
      <c r="L383" s="1">
        <v>45386</v>
      </c>
      <c r="M383" s="2" t="str">
        <f>TEXT(working_data_2[[#This Row],[Date]], "mmm-yy")</f>
        <v>Apr-24</v>
      </c>
      <c r="N383" s="4">
        <f>IFERROR(working_data_2[[#This Row],[Profit]]/working_data_2[[#This Row],[Sales Amount]], 0)</f>
        <v>0.39130434782608697</v>
      </c>
    </row>
    <row r="384" spans="1:14" x14ac:dyDescent="0.3">
      <c r="A384" t="s">
        <v>1718</v>
      </c>
      <c r="B384" t="s">
        <v>1720</v>
      </c>
      <c r="C384" t="s">
        <v>1721</v>
      </c>
      <c r="D384" t="s">
        <v>173</v>
      </c>
      <c r="E384" t="s">
        <v>32</v>
      </c>
      <c r="F384" t="s">
        <v>168</v>
      </c>
      <c r="G384">
        <v>86</v>
      </c>
      <c r="H384">
        <v>2</v>
      </c>
      <c r="I384">
        <v>0.1</v>
      </c>
      <c r="J384">
        <v>24</v>
      </c>
      <c r="K384" t="s">
        <v>18</v>
      </c>
      <c r="L384" s="1">
        <v>45387</v>
      </c>
      <c r="M384" s="2" t="str">
        <f>TEXT(working_data_2[[#This Row],[Date]], "mmm-yy")</f>
        <v>Apr-24</v>
      </c>
      <c r="N384" s="4">
        <f>IFERROR(working_data_2[[#This Row],[Profit]]/working_data_2[[#This Row],[Sales Amount]], 0)</f>
        <v>0.27906976744186046</v>
      </c>
    </row>
    <row r="385" spans="1:14" x14ac:dyDescent="0.3">
      <c r="A385" t="s">
        <v>1722</v>
      </c>
      <c r="B385" t="s">
        <v>1724</v>
      </c>
      <c r="C385" t="s">
        <v>1725</v>
      </c>
      <c r="D385" t="s">
        <v>173</v>
      </c>
      <c r="E385" t="s">
        <v>16</v>
      </c>
      <c r="F385" t="s">
        <v>174</v>
      </c>
      <c r="G385">
        <v>51</v>
      </c>
      <c r="H385">
        <v>3</v>
      </c>
      <c r="I385">
        <v>0</v>
      </c>
      <c r="J385">
        <v>18</v>
      </c>
      <c r="K385" t="s">
        <v>26</v>
      </c>
      <c r="L385" s="1">
        <v>45447</v>
      </c>
      <c r="M385" s="2" t="str">
        <f>TEXT(working_data_2[[#This Row],[Date]], "mmm-yy")</f>
        <v>Jun-24</v>
      </c>
      <c r="N385" s="4">
        <f>IFERROR(working_data_2[[#This Row],[Profit]]/working_data_2[[#This Row],[Sales Amount]], 0)</f>
        <v>0.35294117647058826</v>
      </c>
    </row>
    <row r="386" spans="1:14" x14ac:dyDescent="0.3">
      <c r="A386" t="s">
        <v>1726</v>
      </c>
      <c r="B386" t="s">
        <v>1287</v>
      </c>
      <c r="C386" t="s">
        <v>178</v>
      </c>
      <c r="D386" t="s">
        <v>162</v>
      </c>
      <c r="E386" t="s">
        <v>16</v>
      </c>
      <c r="F386" t="s">
        <v>17</v>
      </c>
      <c r="G386">
        <v>1320</v>
      </c>
      <c r="H386">
        <v>1</v>
      </c>
      <c r="I386">
        <v>0.1</v>
      </c>
      <c r="J386">
        <v>176</v>
      </c>
      <c r="K386" t="s">
        <v>18</v>
      </c>
      <c r="L386" s="1">
        <v>45477</v>
      </c>
      <c r="M386" s="2" t="str">
        <f>TEXT(working_data_2[[#This Row],[Date]], "mmm-yy")</f>
        <v>Jul-24</v>
      </c>
      <c r="N386" s="4">
        <f>IFERROR(working_data_2[[#This Row],[Profit]]/working_data_2[[#This Row],[Sales Amount]], 0)</f>
        <v>0.13333333333333333</v>
      </c>
    </row>
    <row r="387" spans="1:14" x14ac:dyDescent="0.3">
      <c r="A387" t="s">
        <v>1729</v>
      </c>
      <c r="B387" t="s">
        <v>1290</v>
      </c>
      <c r="C387" t="s">
        <v>1732</v>
      </c>
      <c r="D387" t="s">
        <v>162</v>
      </c>
      <c r="E387" t="s">
        <v>45</v>
      </c>
      <c r="F387" t="s">
        <v>25</v>
      </c>
      <c r="G387">
        <v>38</v>
      </c>
      <c r="H387">
        <v>2</v>
      </c>
      <c r="I387">
        <v>0</v>
      </c>
      <c r="J387">
        <v>23</v>
      </c>
      <c r="K387" t="s">
        <v>26</v>
      </c>
      <c r="L387" s="1">
        <v>45390</v>
      </c>
      <c r="M387" s="2" t="str">
        <f>TEXT(working_data_2[[#This Row],[Date]], "mmm-yy")</f>
        <v>Apr-24</v>
      </c>
      <c r="N387" s="4">
        <f>IFERROR(working_data_2[[#This Row],[Profit]]/working_data_2[[#This Row],[Sales Amount]], 0)</f>
        <v>0.60526315789473684</v>
      </c>
    </row>
    <row r="388" spans="1:14" x14ac:dyDescent="0.3">
      <c r="A388" t="s">
        <v>1735</v>
      </c>
      <c r="B388" t="s">
        <v>1296</v>
      </c>
      <c r="C388" t="s">
        <v>1738</v>
      </c>
      <c r="D388" t="s">
        <v>162</v>
      </c>
      <c r="E388" t="s">
        <v>16</v>
      </c>
      <c r="F388" t="s">
        <v>39</v>
      </c>
      <c r="G388">
        <v>1060</v>
      </c>
      <c r="H388">
        <v>1</v>
      </c>
      <c r="I388">
        <v>0.05</v>
      </c>
      <c r="J388">
        <v>136</v>
      </c>
      <c r="K388" t="s">
        <v>18</v>
      </c>
      <c r="L388" s="1">
        <v>45569</v>
      </c>
      <c r="M388" s="2" t="str">
        <f>TEXT(working_data_2[[#This Row],[Date]], "mmm-yy")</f>
        <v>Oct-24</v>
      </c>
      <c r="N388" s="4">
        <f>IFERROR(working_data_2[[#This Row],[Profit]]/working_data_2[[#This Row],[Sales Amount]], 0)</f>
        <v>0.12830188679245283</v>
      </c>
    </row>
    <row r="389" spans="1:14" x14ac:dyDescent="0.3">
      <c r="A389" t="s">
        <v>1739</v>
      </c>
      <c r="B389" t="s">
        <v>1299</v>
      </c>
      <c r="C389" t="s">
        <v>1741</v>
      </c>
      <c r="D389" t="s">
        <v>162</v>
      </c>
      <c r="E389" t="s">
        <v>45</v>
      </c>
      <c r="F389" t="s">
        <v>46</v>
      </c>
      <c r="G389">
        <v>78</v>
      </c>
      <c r="H389">
        <v>3</v>
      </c>
      <c r="I389">
        <v>0</v>
      </c>
      <c r="J389">
        <v>41</v>
      </c>
      <c r="K389" t="s">
        <v>26</v>
      </c>
      <c r="L389" s="1">
        <v>45600</v>
      </c>
      <c r="M389" s="2" t="str">
        <f>TEXT(working_data_2[[#This Row],[Date]], "mmm-yy")</f>
        <v>Nov-24</v>
      </c>
      <c r="N389" s="4">
        <f>IFERROR(working_data_2[[#This Row],[Profit]]/working_data_2[[#This Row],[Sales Amount]], 0)</f>
        <v>0.52564102564102566</v>
      </c>
    </row>
    <row r="390" spans="1:14" x14ac:dyDescent="0.3">
      <c r="A390" t="s">
        <v>1742</v>
      </c>
      <c r="B390" t="s">
        <v>1744</v>
      </c>
      <c r="C390" t="s">
        <v>1745</v>
      </c>
      <c r="D390" t="s">
        <v>162</v>
      </c>
      <c r="E390" t="s">
        <v>32</v>
      </c>
      <c r="F390" t="s">
        <v>53</v>
      </c>
      <c r="G390">
        <v>186</v>
      </c>
      <c r="H390">
        <v>4</v>
      </c>
      <c r="I390">
        <v>0.1</v>
      </c>
      <c r="J390">
        <v>44</v>
      </c>
      <c r="K390" t="s">
        <v>26</v>
      </c>
      <c r="L390" s="1">
        <v>45394</v>
      </c>
      <c r="M390" s="2" t="str">
        <f>TEXT(working_data_2[[#This Row],[Date]], "mmm-yy")</f>
        <v>Apr-24</v>
      </c>
      <c r="N390" s="4">
        <f>IFERROR(working_data_2[[#This Row],[Profit]]/working_data_2[[#This Row],[Sales Amount]], 0)</f>
        <v>0.23655913978494625</v>
      </c>
    </row>
    <row r="391" spans="1:14" x14ac:dyDescent="0.3">
      <c r="A391" t="s">
        <v>1746</v>
      </c>
      <c r="B391" t="s">
        <v>1748</v>
      </c>
      <c r="C391" t="s">
        <v>1749</v>
      </c>
      <c r="D391" t="s">
        <v>162</v>
      </c>
      <c r="E391" t="s">
        <v>16</v>
      </c>
      <c r="F391" t="s">
        <v>59</v>
      </c>
      <c r="G391">
        <v>336</v>
      </c>
      <c r="H391">
        <v>2</v>
      </c>
      <c r="I391">
        <v>0</v>
      </c>
      <c r="J391">
        <v>68</v>
      </c>
      <c r="K391" t="s">
        <v>18</v>
      </c>
      <c r="L391" s="1">
        <v>45395</v>
      </c>
      <c r="M391" s="2" t="str">
        <f>TEXT(working_data_2[[#This Row],[Date]], "mmm-yy")</f>
        <v>Apr-24</v>
      </c>
      <c r="N391" s="4">
        <f>IFERROR(working_data_2[[#This Row],[Profit]]/working_data_2[[#This Row],[Sales Amount]], 0)</f>
        <v>0.20238095238095238</v>
      </c>
    </row>
    <row r="392" spans="1:14" x14ac:dyDescent="0.3">
      <c r="A392" t="s">
        <v>1750</v>
      </c>
      <c r="B392" t="s">
        <v>1752</v>
      </c>
      <c r="C392" t="s">
        <v>2004</v>
      </c>
      <c r="D392" t="s">
        <v>162</v>
      </c>
      <c r="E392" t="s">
        <v>45</v>
      </c>
      <c r="F392" t="s">
        <v>63</v>
      </c>
      <c r="G392">
        <v>106</v>
      </c>
      <c r="H392">
        <v>1</v>
      </c>
      <c r="I392">
        <v>0.2</v>
      </c>
      <c r="J392">
        <v>41</v>
      </c>
      <c r="K392" t="s">
        <v>26</v>
      </c>
      <c r="L392" s="1">
        <v>45396</v>
      </c>
      <c r="M392" s="2" t="str">
        <f>TEXT(working_data_2[[#This Row],[Date]], "mmm-yy")</f>
        <v>Apr-24</v>
      </c>
      <c r="N392" s="4">
        <f>IFERROR(working_data_2[[#This Row],[Profit]]/working_data_2[[#This Row],[Sales Amount]], 0)</f>
        <v>0.3867924528301887</v>
      </c>
    </row>
    <row r="393" spans="1:14" x14ac:dyDescent="0.3">
      <c r="A393" t="s">
        <v>1753</v>
      </c>
      <c r="B393" t="s">
        <v>1755</v>
      </c>
      <c r="C393" t="s">
        <v>1756</v>
      </c>
      <c r="D393" t="s">
        <v>162</v>
      </c>
      <c r="E393" t="s">
        <v>32</v>
      </c>
      <c r="F393" t="s">
        <v>68</v>
      </c>
      <c r="G393">
        <v>1160</v>
      </c>
      <c r="H393">
        <v>1</v>
      </c>
      <c r="I393">
        <v>0.15</v>
      </c>
      <c r="J393">
        <v>136</v>
      </c>
      <c r="K393" t="s">
        <v>18</v>
      </c>
      <c r="L393" s="1">
        <v>45397</v>
      </c>
      <c r="M393" s="2" t="str">
        <f>TEXT(working_data_2[[#This Row],[Date]], "mmm-yy")</f>
        <v>Apr-24</v>
      </c>
      <c r="N393" s="4">
        <f>IFERROR(working_data_2[[#This Row],[Profit]]/working_data_2[[#This Row],[Sales Amount]], 0)</f>
        <v>0.11724137931034483</v>
      </c>
    </row>
    <row r="394" spans="1:14" x14ac:dyDescent="0.3">
      <c r="A394" t="s">
        <v>1763</v>
      </c>
      <c r="B394" t="s">
        <v>1184</v>
      </c>
      <c r="C394" t="s">
        <v>1765</v>
      </c>
      <c r="D394" t="s">
        <v>162</v>
      </c>
      <c r="E394" t="s">
        <v>32</v>
      </c>
      <c r="F394" t="s">
        <v>84</v>
      </c>
      <c r="G394">
        <v>386</v>
      </c>
      <c r="H394">
        <v>1</v>
      </c>
      <c r="I394">
        <v>0.1</v>
      </c>
      <c r="J394">
        <v>68</v>
      </c>
      <c r="K394" t="s">
        <v>26</v>
      </c>
      <c r="L394" s="1">
        <v>45400</v>
      </c>
      <c r="M394" s="2" t="str">
        <f>TEXT(working_data_2[[#This Row],[Date]], "mmm-yy")</f>
        <v>Apr-24</v>
      </c>
      <c r="N394" s="4">
        <f>IFERROR(working_data_2[[#This Row],[Profit]]/working_data_2[[#This Row],[Sales Amount]], 0)</f>
        <v>0.17616580310880828</v>
      </c>
    </row>
    <row r="395" spans="1:14" x14ac:dyDescent="0.3">
      <c r="A395" t="s">
        <v>1766</v>
      </c>
      <c r="B395" t="s">
        <v>1768</v>
      </c>
      <c r="C395" t="s">
        <v>264</v>
      </c>
      <c r="D395" t="s">
        <v>162</v>
      </c>
      <c r="E395" t="s">
        <v>16</v>
      </c>
      <c r="F395" t="s">
        <v>89</v>
      </c>
      <c r="G395">
        <v>286</v>
      </c>
      <c r="H395">
        <v>2</v>
      </c>
      <c r="I395">
        <v>0.05</v>
      </c>
      <c r="J395">
        <v>58</v>
      </c>
      <c r="K395" t="s">
        <v>18</v>
      </c>
      <c r="L395" s="1">
        <v>45401</v>
      </c>
      <c r="M395" s="2" t="str">
        <f>TEXT(working_data_2[[#This Row],[Date]], "mmm-yy")</f>
        <v>Apr-24</v>
      </c>
      <c r="N395" s="4">
        <f>IFERROR(working_data_2[[#This Row],[Profit]]/working_data_2[[#This Row],[Sales Amount]], 0)</f>
        <v>0.20279720279720279</v>
      </c>
    </row>
    <row r="396" spans="1:14" x14ac:dyDescent="0.3">
      <c r="A396" t="s">
        <v>1769</v>
      </c>
      <c r="B396" t="s">
        <v>1771</v>
      </c>
      <c r="C396" t="s">
        <v>1772</v>
      </c>
      <c r="D396" t="s">
        <v>162</v>
      </c>
      <c r="E396" t="s">
        <v>45</v>
      </c>
      <c r="F396" t="s">
        <v>95</v>
      </c>
      <c r="G396">
        <v>186</v>
      </c>
      <c r="H396">
        <v>1</v>
      </c>
      <c r="I396">
        <v>0</v>
      </c>
      <c r="J396">
        <v>53</v>
      </c>
      <c r="K396" t="s">
        <v>26</v>
      </c>
      <c r="L396" s="1">
        <v>45402</v>
      </c>
      <c r="M396" s="2" t="str">
        <f>TEXT(working_data_2[[#This Row],[Date]], "mmm-yy")</f>
        <v>Apr-24</v>
      </c>
      <c r="N396" s="4">
        <f>IFERROR(working_data_2[[#This Row],[Profit]]/working_data_2[[#This Row],[Sales Amount]], 0)</f>
        <v>0.28494623655913981</v>
      </c>
    </row>
    <row r="397" spans="1:14" x14ac:dyDescent="0.3">
      <c r="A397" t="s">
        <v>1773</v>
      </c>
      <c r="B397" t="s">
        <v>1775</v>
      </c>
      <c r="C397" t="s">
        <v>1776</v>
      </c>
      <c r="D397" t="s">
        <v>162</v>
      </c>
      <c r="E397" t="s">
        <v>32</v>
      </c>
      <c r="F397" t="s">
        <v>100</v>
      </c>
      <c r="G397">
        <v>236</v>
      </c>
      <c r="H397">
        <v>1</v>
      </c>
      <c r="I397">
        <v>0.1</v>
      </c>
      <c r="J397">
        <v>48</v>
      </c>
      <c r="K397" t="s">
        <v>18</v>
      </c>
      <c r="L397" s="1">
        <v>45403</v>
      </c>
      <c r="M397" s="2" t="str">
        <f>TEXT(working_data_2[[#This Row],[Date]], "mmm-yy")</f>
        <v>Apr-24</v>
      </c>
      <c r="N397" s="4">
        <f>IFERROR(working_data_2[[#This Row],[Profit]]/working_data_2[[#This Row],[Sales Amount]], 0)</f>
        <v>0.20338983050847459</v>
      </c>
    </row>
    <row r="398" spans="1:14" x14ac:dyDescent="0.3">
      <c r="A398" t="s">
        <v>1777</v>
      </c>
      <c r="B398" t="s">
        <v>1779</v>
      </c>
      <c r="C398" t="s">
        <v>1780</v>
      </c>
      <c r="D398" t="s">
        <v>162</v>
      </c>
      <c r="E398" t="s">
        <v>16</v>
      </c>
      <c r="F398" t="s">
        <v>106</v>
      </c>
      <c r="G398">
        <v>236</v>
      </c>
      <c r="H398">
        <v>1</v>
      </c>
      <c r="I398">
        <v>0</v>
      </c>
      <c r="J398">
        <v>68</v>
      </c>
      <c r="K398" t="s">
        <v>26</v>
      </c>
      <c r="L398" s="1">
        <v>45404</v>
      </c>
      <c r="M398" s="2" t="str">
        <f>TEXT(working_data_2[[#This Row],[Date]], "mmm-yy")</f>
        <v>Apr-24</v>
      </c>
      <c r="N398" s="4">
        <f>IFERROR(working_data_2[[#This Row],[Profit]]/working_data_2[[#This Row],[Sales Amount]], 0)</f>
        <v>0.28813559322033899</v>
      </c>
    </row>
    <row r="399" spans="1:14" x14ac:dyDescent="0.3">
      <c r="A399" t="s">
        <v>1781</v>
      </c>
      <c r="B399" t="s">
        <v>1783</v>
      </c>
      <c r="C399" t="s">
        <v>1784</v>
      </c>
      <c r="D399" t="s">
        <v>162</v>
      </c>
      <c r="E399" t="s">
        <v>45</v>
      </c>
      <c r="F399" t="s">
        <v>112</v>
      </c>
      <c r="G399">
        <v>88</v>
      </c>
      <c r="H399">
        <v>2</v>
      </c>
      <c r="I399">
        <v>0.1</v>
      </c>
      <c r="J399">
        <v>25</v>
      </c>
      <c r="K399" t="s">
        <v>18</v>
      </c>
      <c r="L399" s="1">
        <v>45405</v>
      </c>
      <c r="M399" s="2" t="str">
        <f>TEXT(working_data_2[[#This Row],[Date]], "mmm-yy")</f>
        <v>Apr-24</v>
      </c>
      <c r="N399" s="4">
        <f>IFERROR(working_data_2[[#This Row],[Profit]]/working_data_2[[#This Row],[Sales Amount]], 0)</f>
        <v>0.28409090909090912</v>
      </c>
    </row>
    <row r="400" spans="1:14" x14ac:dyDescent="0.3">
      <c r="A400" t="s">
        <v>1785</v>
      </c>
      <c r="B400" t="s">
        <v>1787</v>
      </c>
      <c r="C400" t="s">
        <v>2004</v>
      </c>
      <c r="D400" t="s">
        <v>162</v>
      </c>
      <c r="E400" t="s">
        <v>32</v>
      </c>
      <c r="F400" t="s">
        <v>117</v>
      </c>
      <c r="G400">
        <v>1280</v>
      </c>
      <c r="H400">
        <v>1</v>
      </c>
      <c r="I400">
        <v>0.2</v>
      </c>
      <c r="J400">
        <v>186</v>
      </c>
      <c r="K400" t="s">
        <v>26</v>
      </c>
      <c r="L400" s="1">
        <v>45406</v>
      </c>
      <c r="M400" s="2" t="str">
        <f>TEXT(working_data_2[[#This Row],[Date]], "mmm-yy")</f>
        <v>Apr-24</v>
      </c>
      <c r="N400" s="4">
        <f>IFERROR(working_data_2[[#This Row],[Profit]]/working_data_2[[#This Row],[Sales Amount]], 0)</f>
        <v>0.14531250000000001</v>
      </c>
    </row>
    <row r="401" spans="1:14" x14ac:dyDescent="0.3">
      <c r="A401" t="s">
        <v>1788</v>
      </c>
      <c r="B401" t="s">
        <v>1790</v>
      </c>
      <c r="C401" t="s">
        <v>1791</v>
      </c>
      <c r="D401" t="s">
        <v>162</v>
      </c>
      <c r="E401" t="s">
        <v>16</v>
      </c>
      <c r="F401" t="s">
        <v>123</v>
      </c>
      <c r="G401">
        <v>880</v>
      </c>
      <c r="H401">
        <v>1</v>
      </c>
      <c r="I401">
        <v>0</v>
      </c>
      <c r="J401">
        <v>116</v>
      </c>
      <c r="K401" t="s">
        <v>18</v>
      </c>
      <c r="L401" s="1">
        <v>45407</v>
      </c>
      <c r="M401" s="2" t="str">
        <f>TEXT(working_data_2[[#This Row],[Date]], "mmm-yy")</f>
        <v>Apr-24</v>
      </c>
      <c r="N401" s="4">
        <f>IFERROR(working_data_2[[#This Row],[Profit]]/working_data_2[[#This Row],[Sales Amount]], 0)</f>
        <v>0.13181818181818181</v>
      </c>
    </row>
    <row r="402" spans="1:14" x14ac:dyDescent="0.3">
      <c r="A402" t="s">
        <v>1792</v>
      </c>
      <c r="B402" t="s">
        <v>1794</v>
      </c>
      <c r="C402" t="s">
        <v>1795</v>
      </c>
      <c r="D402" t="s">
        <v>162</v>
      </c>
      <c r="E402" t="s">
        <v>45</v>
      </c>
      <c r="F402" t="s">
        <v>129</v>
      </c>
      <c r="G402">
        <v>58</v>
      </c>
      <c r="H402">
        <v>3</v>
      </c>
      <c r="I402">
        <v>0</v>
      </c>
      <c r="J402">
        <v>19</v>
      </c>
      <c r="K402" t="s">
        <v>26</v>
      </c>
      <c r="L402" s="1">
        <v>45408</v>
      </c>
      <c r="M402" s="2" t="str">
        <f>TEXT(working_data_2[[#This Row],[Date]], "mmm-yy")</f>
        <v>Apr-24</v>
      </c>
      <c r="N402" s="4">
        <f>IFERROR(working_data_2[[#This Row],[Profit]]/working_data_2[[#This Row],[Sales Amount]], 0)</f>
        <v>0.32758620689655171</v>
      </c>
    </row>
    <row r="403" spans="1:14" x14ac:dyDescent="0.3">
      <c r="A403" t="s">
        <v>1799</v>
      </c>
      <c r="B403" t="s">
        <v>1801</v>
      </c>
      <c r="C403" t="s">
        <v>1802</v>
      </c>
      <c r="D403" t="s">
        <v>162</v>
      </c>
      <c r="E403" t="s">
        <v>16</v>
      </c>
      <c r="F403" t="s">
        <v>141</v>
      </c>
      <c r="G403">
        <v>108</v>
      </c>
      <c r="H403">
        <v>2</v>
      </c>
      <c r="I403">
        <v>0.1</v>
      </c>
      <c r="J403">
        <v>41</v>
      </c>
      <c r="K403" t="s">
        <v>26</v>
      </c>
      <c r="L403" s="1">
        <v>45410</v>
      </c>
      <c r="M403" s="2" t="str">
        <f>TEXT(working_data_2[[#This Row],[Date]], "mmm-yy")</f>
        <v>Apr-24</v>
      </c>
      <c r="N403" s="4">
        <f>IFERROR(working_data_2[[#This Row],[Profit]]/working_data_2[[#This Row],[Sales Amount]], 0)</f>
        <v>0.37962962962962965</v>
      </c>
    </row>
    <row r="404" spans="1:14" x14ac:dyDescent="0.3">
      <c r="A404" t="s">
        <v>1803</v>
      </c>
      <c r="B404" t="s">
        <v>1805</v>
      </c>
      <c r="C404" t="s">
        <v>1806</v>
      </c>
      <c r="D404" t="s">
        <v>162</v>
      </c>
      <c r="E404" t="s">
        <v>45</v>
      </c>
      <c r="F404" t="s">
        <v>146</v>
      </c>
      <c r="G404">
        <v>41</v>
      </c>
      <c r="H404">
        <v>5</v>
      </c>
      <c r="I404">
        <v>0</v>
      </c>
      <c r="J404">
        <v>19</v>
      </c>
      <c r="K404" t="s">
        <v>18</v>
      </c>
      <c r="L404" s="1">
        <v>45411</v>
      </c>
      <c r="M404" s="2" t="str">
        <f>TEXT(working_data_2[[#This Row],[Date]], "mmm-yy")</f>
        <v>Apr-24</v>
      </c>
      <c r="N404" s="4">
        <f>IFERROR(working_data_2[[#This Row],[Profit]]/working_data_2[[#This Row],[Sales Amount]], 0)</f>
        <v>0.46341463414634149</v>
      </c>
    </row>
    <row r="405" spans="1:14" x14ac:dyDescent="0.3">
      <c r="A405" t="s">
        <v>1807</v>
      </c>
      <c r="B405" t="s">
        <v>1809</v>
      </c>
      <c r="C405" t="s">
        <v>1810</v>
      </c>
      <c r="D405" t="s">
        <v>162</v>
      </c>
      <c r="E405" t="s">
        <v>32</v>
      </c>
      <c r="F405" t="s">
        <v>152</v>
      </c>
      <c r="G405">
        <v>68</v>
      </c>
      <c r="H405">
        <v>4</v>
      </c>
      <c r="I405">
        <v>0</v>
      </c>
      <c r="J405">
        <v>25</v>
      </c>
      <c r="K405" t="s">
        <v>26</v>
      </c>
      <c r="L405" s="1">
        <v>45412</v>
      </c>
      <c r="M405" s="2" t="str">
        <f>TEXT(working_data_2[[#This Row],[Date]], "mmm-yy")</f>
        <v>Apr-24</v>
      </c>
      <c r="N405" s="4">
        <f>IFERROR(working_data_2[[#This Row],[Profit]]/working_data_2[[#This Row],[Sales Amount]], 0)</f>
        <v>0.36764705882352944</v>
      </c>
    </row>
    <row r="406" spans="1:14" x14ac:dyDescent="0.3">
      <c r="A406" t="s">
        <v>1811</v>
      </c>
      <c r="B406" t="s">
        <v>1813</v>
      </c>
      <c r="C406" t="s">
        <v>1814</v>
      </c>
      <c r="D406" t="s">
        <v>162</v>
      </c>
      <c r="E406" t="s">
        <v>16</v>
      </c>
      <c r="F406" t="s">
        <v>158</v>
      </c>
      <c r="G406">
        <v>78</v>
      </c>
      <c r="H406">
        <v>2</v>
      </c>
      <c r="I406">
        <v>0</v>
      </c>
      <c r="J406">
        <v>25</v>
      </c>
      <c r="K406" t="s">
        <v>18</v>
      </c>
      <c r="L406" s="1">
        <v>45413</v>
      </c>
      <c r="M406" s="2" t="str">
        <f>TEXT(working_data_2[[#This Row],[Date]], "mmm-yy")</f>
        <v>May-24</v>
      </c>
      <c r="N406" s="4">
        <f>IFERROR(working_data_2[[#This Row],[Profit]]/working_data_2[[#This Row],[Sales Amount]], 0)</f>
        <v>0.32051282051282054</v>
      </c>
    </row>
    <row r="407" spans="1:14" x14ac:dyDescent="0.3">
      <c r="A407" t="s">
        <v>1815</v>
      </c>
      <c r="B407" t="s">
        <v>1817</v>
      </c>
      <c r="C407" t="s">
        <v>2004</v>
      </c>
      <c r="D407" t="s">
        <v>162</v>
      </c>
      <c r="E407" t="s">
        <v>45</v>
      </c>
      <c r="F407" t="s">
        <v>163</v>
      </c>
      <c r="G407">
        <v>48</v>
      </c>
      <c r="H407">
        <v>1</v>
      </c>
      <c r="I407">
        <v>0</v>
      </c>
      <c r="J407">
        <v>19</v>
      </c>
      <c r="K407" t="s">
        <v>26</v>
      </c>
      <c r="L407" s="1">
        <v>45327</v>
      </c>
      <c r="M407" s="2" t="str">
        <f>TEXT(working_data_2[[#This Row],[Date]], "mmm-yy")</f>
        <v>Feb-24</v>
      </c>
      <c r="N407" s="4">
        <f>IFERROR(working_data_2[[#This Row],[Profit]]/working_data_2[[#This Row],[Sales Amount]], 0)</f>
        <v>0.39583333333333331</v>
      </c>
    </row>
    <row r="408" spans="1:14" x14ac:dyDescent="0.3">
      <c r="A408" t="s">
        <v>1818</v>
      </c>
      <c r="B408" t="s">
        <v>1996</v>
      </c>
      <c r="C408" t="s">
        <v>1821</v>
      </c>
      <c r="D408" t="s">
        <v>162</v>
      </c>
      <c r="E408" t="s">
        <v>32</v>
      </c>
      <c r="F408" t="s">
        <v>168</v>
      </c>
      <c r="G408">
        <v>88</v>
      </c>
      <c r="H408">
        <v>2</v>
      </c>
      <c r="I408">
        <v>0.1</v>
      </c>
      <c r="J408">
        <v>25</v>
      </c>
      <c r="K408" t="s">
        <v>18</v>
      </c>
      <c r="L408" s="1">
        <v>45415</v>
      </c>
      <c r="M408" s="2" t="str">
        <f>TEXT(working_data_2[[#This Row],[Date]], "mmm-yy")</f>
        <v>May-24</v>
      </c>
      <c r="N408" s="4">
        <f>IFERROR(working_data_2[[#This Row],[Profit]]/working_data_2[[#This Row],[Sales Amount]], 0)</f>
        <v>0.28409090909090912</v>
      </c>
    </row>
    <row r="409" spans="1:14" x14ac:dyDescent="0.3">
      <c r="A409" t="s">
        <v>1822</v>
      </c>
      <c r="B409" t="s">
        <v>1824</v>
      </c>
      <c r="C409" t="s">
        <v>1825</v>
      </c>
      <c r="D409" t="s">
        <v>162</v>
      </c>
      <c r="E409" t="s">
        <v>16</v>
      </c>
      <c r="F409" t="s">
        <v>174</v>
      </c>
      <c r="G409">
        <v>53</v>
      </c>
      <c r="H409">
        <v>3</v>
      </c>
      <c r="I409">
        <v>0</v>
      </c>
      <c r="J409">
        <v>19</v>
      </c>
      <c r="K409" t="s">
        <v>26</v>
      </c>
      <c r="L409" s="1">
        <v>45387</v>
      </c>
      <c r="M409" s="2" t="str">
        <f>TEXT(working_data_2[[#This Row],[Date]], "mmm-yy")</f>
        <v>Apr-24</v>
      </c>
      <c r="N409" s="4">
        <f>IFERROR(working_data_2[[#This Row],[Profit]]/working_data_2[[#This Row],[Sales Amount]], 0)</f>
        <v>0.35849056603773582</v>
      </c>
    </row>
    <row r="410" spans="1:14" x14ac:dyDescent="0.3">
      <c r="A410" t="s">
        <v>1826</v>
      </c>
      <c r="B410" t="s">
        <v>1997</v>
      </c>
      <c r="C410" t="s">
        <v>1829</v>
      </c>
      <c r="D410" t="s">
        <v>183</v>
      </c>
      <c r="E410" t="s">
        <v>16</v>
      </c>
      <c r="F410" t="s">
        <v>17</v>
      </c>
      <c r="G410">
        <v>1330</v>
      </c>
      <c r="H410">
        <v>1</v>
      </c>
      <c r="I410">
        <v>0.1</v>
      </c>
      <c r="J410">
        <v>178</v>
      </c>
      <c r="K410" t="s">
        <v>18</v>
      </c>
      <c r="L410" s="1">
        <v>45417</v>
      </c>
      <c r="M410" s="2" t="str">
        <f>TEXT(working_data_2[[#This Row],[Date]], "mmm-yy")</f>
        <v>May-24</v>
      </c>
      <c r="N410" s="4">
        <f>IFERROR(working_data_2[[#This Row],[Profit]]/working_data_2[[#This Row],[Sales Amount]], 0)</f>
        <v>0.13383458646616542</v>
      </c>
    </row>
    <row r="411" spans="1:14" x14ac:dyDescent="0.3">
      <c r="A411" t="s">
        <v>1830</v>
      </c>
      <c r="B411" t="s">
        <v>1998</v>
      </c>
      <c r="C411" t="s">
        <v>1833</v>
      </c>
      <c r="D411" t="s">
        <v>183</v>
      </c>
      <c r="E411" t="s">
        <v>45</v>
      </c>
      <c r="F411" t="s">
        <v>25</v>
      </c>
      <c r="G411">
        <v>39</v>
      </c>
      <c r="H411">
        <v>2</v>
      </c>
      <c r="I411">
        <v>0</v>
      </c>
      <c r="J411">
        <v>24</v>
      </c>
      <c r="K411" t="s">
        <v>26</v>
      </c>
      <c r="L411" s="1">
        <v>45418</v>
      </c>
      <c r="M411" s="2" t="str">
        <f>TEXT(working_data_2[[#This Row],[Date]], "mmm-yy")</f>
        <v>May-24</v>
      </c>
      <c r="N411" s="4">
        <f>IFERROR(working_data_2[[#This Row],[Profit]]/working_data_2[[#This Row],[Sales Amount]], 0)</f>
        <v>0.61538461538461542</v>
      </c>
    </row>
    <row r="412" spans="1:14" x14ac:dyDescent="0.3">
      <c r="A412" t="s">
        <v>1837</v>
      </c>
      <c r="B412" t="s">
        <v>1999</v>
      </c>
      <c r="C412" t="s">
        <v>104</v>
      </c>
      <c r="D412" t="s">
        <v>183</v>
      </c>
      <c r="E412" t="s">
        <v>16</v>
      </c>
      <c r="F412" t="s">
        <v>39</v>
      </c>
      <c r="G412">
        <v>1080</v>
      </c>
      <c r="H412">
        <v>1</v>
      </c>
      <c r="I412">
        <v>0.05</v>
      </c>
      <c r="J412">
        <v>138</v>
      </c>
      <c r="K412" t="s">
        <v>18</v>
      </c>
      <c r="L412" s="1">
        <v>45509</v>
      </c>
      <c r="M412" s="2" t="str">
        <f>TEXT(working_data_2[[#This Row],[Date]], "mmm-yy")</f>
        <v>Aug-24</v>
      </c>
      <c r="N412" s="4">
        <f>IFERROR(working_data_2[[#This Row],[Profit]]/working_data_2[[#This Row],[Sales Amount]], 0)</f>
        <v>0.12777777777777777</v>
      </c>
    </row>
    <row r="413" spans="1:14" x14ac:dyDescent="0.3">
      <c r="A413" t="s">
        <v>1840</v>
      </c>
      <c r="B413" t="s">
        <v>1842</v>
      </c>
      <c r="C413" t="s">
        <v>1843</v>
      </c>
      <c r="D413" t="s">
        <v>183</v>
      </c>
      <c r="E413" t="s">
        <v>45</v>
      </c>
      <c r="F413" t="s">
        <v>46</v>
      </c>
      <c r="G413">
        <v>80</v>
      </c>
      <c r="H413">
        <v>3</v>
      </c>
      <c r="I413">
        <v>0</v>
      </c>
      <c r="J413">
        <v>43</v>
      </c>
      <c r="K413" t="s">
        <v>26</v>
      </c>
      <c r="L413" s="1">
        <v>45540</v>
      </c>
      <c r="M413" s="2" t="str">
        <f>TEXT(working_data_2[[#This Row],[Date]], "mmm-yy")</f>
        <v>Sep-24</v>
      </c>
      <c r="N413" s="4">
        <f>IFERROR(working_data_2[[#This Row],[Profit]]/working_data_2[[#This Row],[Sales Amount]], 0)</f>
        <v>0.53749999999999998</v>
      </c>
    </row>
    <row r="414" spans="1:14" x14ac:dyDescent="0.3">
      <c r="A414" t="s">
        <v>1844</v>
      </c>
      <c r="B414" t="s">
        <v>1846</v>
      </c>
      <c r="C414" t="s">
        <v>1847</v>
      </c>
      <c r="D414" t="s">
        <v>183</v>
      </c>
      <c r="E414" t="s">
        <v>32</v>
      </c>
      <c r="F414" t="s">
        <v>53</v>
      </c>
      <c r="G414">
        <v>188</v>
      </c>
      <c r="H414">
        <v>4</v>
      </c>
      <c r="I414">
        <v>0.1</v>
      </c>
      <c r="J414">
        <v>46</v>
      </c>
      <c r="K414" t="s">
        <v>26</v>
      </c>
      <c r="L414" s="1">
        <v>45422</v>
      </c>
      <c r="M414" s="2" t="str">
        <f>TEXT(working_data_2[[#This Row],[Date]], "mmm-yy")</f>
        <v>May-24</v>
      </c>
      <c r="N414" s="4">
        <f>IFERROR(working_data_2[[#This Row],[Profit]]/working_data_2[[#This Row],[Sales Amount]], 0)</f>
        <v>0.24468085106382978</v>
      </c>
    </row>
    <row r="415" spans="1:14" x14ac:dyDescent="0.3">
      <c r="A415" t="s">
        <v>1848</v>
      </c>
      <c r="B415" t="s">
        <v>1850</v>
      </c>
      <c r="C415" t="s">
        <v>1851</v>
      </c>
      <c r="D415" t="s">
        <v>183</v>
      </c>
      <c r="E415" t="s">
        <v>16</v>
      </c>
      <c r="F415" t="s">
        <v>59</v>
      </c>
      <c r="G415">
        <v>338</v>
      </c>
      <c r="H415">
        <v>2</v>
      </c>
      <c r="I415">
        <v>0</v>
      </c>
      <c r="J415">
        <v>70</v>
      </c>
      <c r="K415" t="s">
        <v>18</v>
      </c>
      <c r="L415" s="1">
        <v>45601</v>
      </c>
      <c r="M415" s="2" t="str">
        <f>TEXT(working_data_2[[#This Row],[Date]], "mmm-yy")</f>
        <v>Nov-24</v>
      </c>
      <c r="N415" s="4">
        <f>IFERROR(working_data_2[[#This Row],[Profit]]/working_data_2[[#This Row],[Sales Amount]], 0)</f>
        <v>0.20710059171597633</v>
      </c>
    </row>
    <row r="416" spans="1:14" x14ac:dyDescent="0.3">
      <c r="A416" t="s">
        <v>1852</v>
      </c>
      <c r="B416" t="s">
        <v>1854</v>
      </c>
      <c r="C416" t="s">
        <v>2004</v>
      </c>
      <c r="D416" t="s">
        <v>183</v>
      </c>
      <c r="E416" t="s">
        <v>45</v>
      </c>
      <c r="F416" t="s">
        <v>63</v>
      </c>
      <c r="G416">
        <v>108</v>
      </c>
      <c r="H416">
        <v>1</v>
      </c>
      <c r="I416">
        <v>0.2</v>
      </c>
      <c r="J416">
        <v>43</v>
      </c>
      <c r="K416" t="s">
        <v>26</v>
      </c>
      <c r="L416" s="1">
        <v>45631</v>
      </c>
      <c r="M416" s="2" t="str">
        <f>TEXT(working_data_2[[#This Row],[Date]], "mmm-yy")</f>
        <v>Dec-24</v>
      </c>
      <c r="N416" s="4">
        <f>IFERROR(working_data_2[[#This Row],[Profit]]/working_data_2[[#This Row],[Sales Amount]], 0)</f>
        <v>0.39814814814814814</v>
      </c>
    </row>
    <row r="417" spans="1:14" x14ac:dyDescent="0.3">
      <c r="A417" t="s">
        <v>1855</v>
      </c>
      <c r="B417" t="s">
        <v>1857</v>
      </c>
      <c r="C417" t="s">
        <v>1858</v>
      </c>
      <c r="D417" t="s">
        <v>183</v>
      </c>
      <c r="E417" t="s">
        <v>32</v>
      </c>
      <c r="F417" t="s">
        <v>68</v>
      </c>
      <c r="G417">
        <v>1180</v>
      </c>
      <c r="H417">
        <v>1</v>
      </c>
      <c r="I417">
        <v>0.15</v>
      </c>
      <c r="J417">
        <v>138</v>
      </c>
      <c r="K417" t="s">
        <v>18</v>
      </c>
      <c r="L417" s="1">
        <v>45425</v>
      </c>
      <c r="M417" s="2" t="str">
        <f>TEXT(working_data_2[[#This Row],[Date]], "mmm-yy")</f>
        <v>May-24</v>
      </c>
      <c r="N417" s="4">
        <f>IFERROR(working_data_2[[#This Row],[Profit]]/working_data_2[[#This Row],[Sales Amount]], 0)</f>
        <v>0.11694915254237288</v>
      </c>
    </row>
    <row r="418" spans="1:14" x14ac:dyDescent="0.3">
      <c r="A418" t="s">
        <v>1867</v>
      </c>
      <c r="B418" t="s">
        <v>1069</v>
      </c>
      <c r="C418" t="s">
        <v>1869</v>
      </c>
      <c r="D418" t="s">
        <v>183</v>
      </c>
      <c r="E418" t="s">
        <v>32</v>
      </c>
      <c r="F418" t="s">
        <v>84</v>
      </c>
      <c r="G418">
        <v>388</v>
      </c>
      <c r="H418">
        <v>1</v>
      </c>
      <c r="I418">
        <v>0.1</v>
      </c>
      <c r="J418">
        <v>70</v>
      </c>
      <c r="K418" t="s">
        <v>26</v>
      </c>
      <c r="L418" s="1">
        <v>45428</v>
      </c>
      <c r="M418" s="2" t="str">
        <f>TEXT(working_data_2[[#This Row],[Date]], "mmm-yy")</f>
        <v>May-24</v>
      </c>
      <c r="N418" s="4">
        <f>IFERROR(working_data_2[[#This Row],[Profit]]/working_data_2[[#This Row],[Sales Amount]], 0)</f>
        <v>0.18041237113402062</v>
      </c>
    </row>
    <row r="419" spans="1:14" x14ac:dyDescent="0.3">
      <c r="A419" t="s">
        <v>1870</v>
      </c>
      <c r="B419" t="s">
        <v>1872</v>
      </c>
      <c r="C419" t="s">
        <v>264</v>
      </c>
      <c r="D419" t="s">
        <v>183</v>
      </c>
      <c r="E419" t="s">
        <v>16</v>
      </c>
      <c r="F419" t="s">
        <v>89</v>
      </c>
      <c r="G419">
        <v>288</v>
      </c>
      <c r="H419">
        <v>2</v>
      </c>
      <c r="I419">
        <v>0.05</v>
      </c>
      <c r="J419">
        <v>60</v>
      </c>
      <c r="K419" t="s">
        <v>18</v>
      </c>
      <c r="L419" s="1">
        <v>45429</v>
      </c>
      <c r="M419" s="2" t="str">
        <f>TEXT(working_data_2[[#This Row],[Date]], "mmm-yy")</f>
        <v>May-24</v>
      </c>
      <c r="N419" s="4">
        <f>IFERROR(working_data_2[[#This Row],[Profit]]/working_data_2[[#This Row],[Sales Amount]], 0)</f>
        <v>0.20833333333333334</v>
      </c>
    </row>
    <row r="420" spans="1:14" x14ac:dyDescent="0.3">
      <c r="A420" t="s">
        <v>1873</v>
      </c>
      <c r="B420" t="s">
        <v>2000</v>
      </c>
      <c r="C420" t="s">
        <v>1876</v>
      </c>
      <c r="D420" t="s">
        <v>183</v>
      </c>
      <c r="E420" t="s">
        <v>45</v>
      </c>
      <c r="F420" t="s">
        <v>95</v>
      </c>
      <c r="G420">
        <v>188</v>
      </c>
      <c r="H420">
        <v>1</v>
      </c>
      <c r="I420">
        <v>0</v>
      </c>
      <c r="J420">
        <v>55</v>
      </c>
      <c r="K420" t="s">
        <v>26</v>
      </c>
      <c r="L420" s="1">
        <v>45430</v>
      </c>
      <c r="M420" s="2" t="str">
        <f>TEXT(working_data_2[[#This Row],[Date]], "mmm-yy")</f>
        <v>May-24</v>
      </c>
      <c r="N420" s="4">
        <f>IFERROR(working_data_2[[#This Row],[Profit]]/working_data_2[[#This Row],[Sales Amount]], 0)</f>
        <v>0.29255319148936171</v>
      </c>
    </row>
    <row r="421" spans="1:14" x14ac:dyDescent="0.3">
      <c r="A421" t="s">
        <v>1877</v>
      </c>
      <c r="B421" t="s">
        <v>1879</v>
      </c>
      <c r="C421" t="s">
        <v>1880</v>
      </c>
      <c r="D421" t="s">
        <v>183</v>
      </c>
      <c r="E421" t="s">
        <v>32</v>
      </c>
      <c r="F421" t="s">
        <v>100</v>
      </c>
      <c r="G421">
        <v>238</v>
      </c>
      <c r="H421">
        <v>1</v>
      </c>
      <c r="I421">
        <v>0.1</v>
      </c>
      <c r="J421">
        <v>50</v>
      </c>
      <c r="K421" t="s">
        <v>18</v>
      </c>
      <c r="L421" s="1">
        <v>45431</v>
      </c>
      <c r="M421" s="2" t="str">
        <f>TEXT(working_data_2[[#This Row],[Date]], "mmm-yy")</f>
        <v>May-24</v>
      </c>
      <c r="N421" s="4">
        <f>IFERROR(working_data_2[[#This Row],[Profit]]/working_data_2[[#This Row],[Sales Amount]], 0)</f>
        <v>0.21008403361344538</v>
      </c>
    </row>
    <row r="422" spans="1:14" x14ac:dyDescent="0.3">
      <c r="A422" t="s">
        <v>1881</v>
      </c>
      <c r="B422" t="s">
        <v>2001</v>
      </c>
      <c r="C422" t="s">
        <v>1573</v>
      </c>
      <c r="D422" t="s">
        <v>183</v>
      </c>
      <c r="E422" t="s">
        <v>16</v>
      </c>
      <c r="F422" t="s">
        <v>106</v>
      </c>
      <c r="G422">
        <v>238</v>
      </c>
      <c r="H422">
        <v>1</v>
      </c>
      <c r="I422">
        <v>0</v>
      </c>
      <c r="J422">
        <v>70</v>
      </c>
      <c r="K422" t="s">
        <v>26</v>
      </c>
      <c r="L422" s="1">
        <v>45432</v>
      </c>
      <c r="M422" s="2" t="str">
        <f>TEXT(working_data_2[[#This Row],[Date]], "mmm-yy")</f>
        <v>May-24</v>
      </c>
      <c r="N422" s="4">
        <f>IFERROR(working_data_2[[#This Row],[Profit]]/working_data_2[[#This Row],[Sales Amount]], 0)</f>
        <v>0.29411764705882354</v>
      </c>
    </row>
    <row r="423" spans="1:14" x14ac:dyDescent="0.3">
      <c r="A423" t="s">
        <v>1884</v>
      </c>
      <c r="B423" t="s">
        <v>1886</v>
      </c>
      <c r="C423" t="s">
        <v>1887</v>
      </c>
      <c r="D423" t="s">
        <v>183</v>
      </c>
      <c r="E423" t="s">
        <v>45</v>
      </c>
      <c r="F423" t="s">
        <v>112</v>
      </c>
      <c r="G423">
        <v>90</v>
      </c>
      <c r="H423">
        <v>2</v>
      </c>
      <c r="I423">
        <v>0.1</v>
      </c>
      <c r="J423">
        <v>26</v>
      </c>
      <c r="K423" t="s">
        <v>18</v>
      </c>
      <c r="L423" s="1">
        <v>45433</v>
      </c>
      <c r="M423" s="2" t="str">
        <f>TEXT(working_data_2[[#This Row],[Date]], "mmm-yy")</f>
        <v>May-24</v>
      </c>
      <c r="N423" s="4">
        <f>IFERROR(working_data_2[[#This Row],[Profit]]/working_data_2[[#This Row],[Sales Amount]], 0)</f>
        <v>0.28888888888888886</v>
      </c>
    </row>
    <row r="424" spans="1:14" x14ac:dyDescent="0.3">
      <c r="A424" t="s">
        <v>1888</v>
      </c>
      <c r="B424" t="s">
        <v>1890</v>
      </c>
      <c r="C424" t="s">
        <v>2004</v>
      </c>
      <c r="D424" t="s">
        <v>183</v>
      </c>
      <c r="E424" t="s">
        <v>32</v>
      </c>
      <c r="F424" t="s">
        <v>117</v>
      </c>
      <c r="G424">
        <v>1300</v>
      </c>
      <c r="H424">
        <v>1</v>
      </c>
      <c r="I424">
        <v>0.2</v>
      </c>
      <c r="J424">
        <v>188</v>
      </c>
      <c r="K424" t="s">
        <v>26</v>
      </c>
      <c r="L424" s="1">
        <v>45434</v>
      </c>
      <c r="M424" s="2" t="str">
        <f>TEXT(working_data_2[[#This Row],[Date]], "mmm-yy")</f>
        <v>May-24</v>
      </c>
      <c r="N424" s="4">
        <f>IFERROR(working_data_2[[#This Row],[Profit]]/working_data_2[[#This Row],[Sales Amount]], 0)</f>
        <v>0.14461538461538462</v>
      </c>
    </row>
    <row r="425" spans="1:14" x14ac:dyDescent="0.3">
      <c r="A425" t="s">
        <v>1891</v>
      </c>
      <c r="B425" t="s">
        <v>1893</v>
      </c>
      <c r="C425" t="s">
        <v>1894</v>
      </c>
      <c r="D425" t="s">
        <v>183</v>
      </c>
      <c r="E425" t="s">
        <v>16</v>
      </c>
      <c r="F425" t="s">
        <v>123</v>
      </c>
      <c r="G425">
        <v>900</v>
      </c>
      <c r="H425">
        <v>1</v>
      </c>
      <c r="I425">
        <v>0</v>
      </c>
      <c r="J425">
        <v>118</v>
      </c>
      <c r="K425" t="s">
        <v>18</v>
      </c>
      <c r="L425" s="1">
        <v>45435</v>
      </c>
      <c r="M425" s="2" t="str">
        <f>TEXT(working_data_2[[#This Row],[Date]], "mmm-yy")</f>
        <v>May-24</v>
      </c>
      <c r="N425" s="4">
        <f>IFERROR(working_data_2[[#This Row],[Profit]]/working_data_2[[#This Row],[Sales Amount]], 0)</f>
        <v>0.13111111111111112</v>
      </c>
    </row>
    <row r="426" spans="1:14" x14ac:dyDescent="0.3">
      <c r="A426" t="s">
        <v>1895</v>
      </c>
      <c r="B426" t="s">
        <v>1897</v>
      </c>
      <c r="C426" t="s">
        <v>1898</v>
      </c>
      <c r="D426" t="s">
        <v>183</v>
      </c>
      <c r="E426" t="s">
        <v>45</v>
      </c>
      <c r="F426" t="s">
        <v>129</v>
      </c>
      <c r="G426">
        <v>60</v>
      </c>
      <c r="H426">
        <v>3</v>
      </c>
      <c r="I426">
        <v>0</v>
      </c>
      <c r="J426">
        <v>20</v>
      </c>
      <c r="K426" t="s">
        <v>26</v>
      </c>
      <c r="L426" s="1">
        <v>45436</v>
      </c>
      <c r="M426" s="2" t="str">
        <f>TEXT(working_data_2[[#This Row],[Date]], "mmm-yy")</f>
        <v>May-24</v>
      </c>
      <c r="N426" s="4">
        <f>IFERROR(working_data_2[[#This Row],[Profit]]/working_data_2[[#This Row],[Sales Amount]], 0)</f>
        <v>0.33333333333333331</v>
      </c>
    </row>
    <row r="427" spans="1:14" x14ac:dyDescent="0.3">
      <c r="A427" t="s">
        <v>1903</v>
      </c>
      <c r="B427" t="s">
        <v>1905</v>
      </c>
      <c r="C427" t="s">
        <v>1906</v>
      </c>
      <c r="D427" t="s">
        <v>183</v>
      </c>
      <c r="E427" t="s">
        <v>16</v>
      </c>
      <c r="F427" t="s">
        <v>141</v>
      </c>
      <c r="G427">
        <v>110</v>
      </c>
      <c r="H427">
        <v>2</v>
      </c>
      <c r="I427">
        <v>0.1</v>
      </c>
      <c r="J427">
        <v>43</v>
      </c>
      <c r="K427" t="s">
        <v>26</v>
      </c>
      <c r="L427" s="1">
        <v>45438</v>
      </c>
      <c r="M427" s="2" t="str">
        <f>TEXT(working_data_2[[#This Row],[Date]], "mmm-yy")</f>
        <v>May-24</v>
      </c>
      <c r="N427" s="4">
        <f>IFERROR(working_data_2[[#This Row],[Profit]]/working_data_2[[#This Row],[Sales Amount]], 0)</f>
        <v>0.39090909090909093</v>
      </c>
    </row>
    <row r="428" spans="1:14" x14ac:dyDescent="0.3">
      <c r="A428" t="s">
        <v>1907</v>
      </c>
      <c r="B428" t="s">
        <v>1909</v>
      </c>
      <c r="C428" t="s">
        <v>1910</v>
      </c>
      <c r="D428" t="s">
        <v>183</v>
      </c>
      <c r="E428" t="s">
        <v>45</v>
      </c>
      <c r="F428" t="s">
        <v>146</v>
      </c>
      <c r="G428">
        <v>43</v>
      </c>
      <c r="H428">
        <v>5</v>
      </c>
      <c r="I428">
        <v>0</v>
      </c>
      <c r="J428">
        <v>20</v>
      </c>
      <c r="K428" t="s">
        <v>18</v>
      </c>
      <c r="L428" s="1">
        <v>45439</v>
      </c>
      <c r="M428" s="2" t="str">
        <f>TEXT(working_data_2[[#This Row],[Date]], "mmm-yy")</f>
        <v>May-24</v>
      </c>
      <c r="N428" s="4">
        <f>IFERROR(working_data_2[[#This Row],[Profit]]/working_data_2[[#This Row],[Sales Amount]], 0)</f>
        <v>0.46511627906976744</v>
      </c>
    </row>
    <row r="429" spans="1:14" x14ac:dyDescent="0.3">
      <c r="A429" t="s">
        <v>1911</v>
      </c>
      <c r="B429" t="s">
        <v>1913</v>
      </c>
      <c r="C429" t="s">
        <v>1914</v>
      </c>
      <c r="D429" t="s">
        <v>183</v>
      </c>
      <c r="E429" t="s">
        <v>32</v>
      </c>
      <c r="F429" t="s">
        <v>152</v>
      </c>
      <c r="G429">
        <v>70</v>
      </c>
      <c r="H429">
        <v>4</v>
      </c>
      <c r="I429">
        <v>0</v>
      </c>
      <c r="J429">
        <v>26</v>
      </c>
      <c r="K429" t="s">
        <v>26</v>
      </c>
      <c r="L429" s="1">
        <v>45440</v>
      </c>
      <c r="M429" s="2" t="str">
        <f>TEXT(working_data_2[[#This Row],[Date]], "mmm-yy")</f>
        <v>May-24</v>
      </c>
      <c r="N429" s="4">
        <f>IFERROR(working_data_2[[#This Row],[Profit]]/working_data_2[[#This Row],[Sales Amount]], 0)</f>
        <v>0.37142857142857144</v>
      </c>
    </row>
    <row r="430" spans="1:14" x14ac:dyDescent="0.3">
      <c r="A430" t="s">
        <v>1915</v>
      </c>
      <c r="B430" t="s">
        <v>1917</v>
      </c>
      <c r="C430" t="s">
        <v>1918</v>
      </c>
      <c r="D430" t="s">
        <v>183</v>
      </c>
      <c r="E430" t="s">
        <v>16</v>
      </c>
      <c r="F430" t="s">
        <v>158</v>
      </c>
      <c r="G430">
        <v>80</v>
      </c>
      <c r="H430">
        <v>2</v>
      </c>
      <c r="I430">
        <v>0</v>
      </c>
      <c r="J430">
        <v>26</v>
      </c>
      <c r="K430" t="s">
        <v>18</v>
      </c>
      <c r="L430" s="1">
        <v>45441</v>
      </c>
      <c r="M430" s="2" t="str">
        <f>TEXT(working_data_2[[#This Row],[Date]], "mmm-yy")</f>
        <v>May-24</v>
      </c>
      <c r="N430" s="4">
        <f>IFERROR(working_data_2[[#This Row],[Profit]]/working_data_2[[#This Row],[Sales Amount]], 0)</f>
        <v>0.32500000000000001</v>
      </c>
    </row>
    <row r="431" spans="1:14" x14ac:dyDescent="0.3">
      <c r="A431" t="s">
        <v>1919</v>
      </c>
      <c r="B431" t="s">
        <v>1921</v>
      </c>
      <c r="C431" t="s">
        <v>2004</v>
      </c>
      <c r="D431" t="s">
        <v>183</v>
      </c>
      <c r="E431" t="s">
        <v>45</v>
      </c>
      <c r="F431" t="s">
        <v>163</v>
      </c>
      <c r="G431">
        <v>50</v>
      </c>
      <c r="H431">
        <v>1</v>
      </c>
      <c r="I431">
        <v>0</v>
      </c>
      <c r="J431">
        <v>20</v>
      </c>
      <c r="K431" t="s">
        <v>26</v>
      </c>
      <c r="L431" s="1">
        <v>45442</v>
      </c>
      <c r="M431" s="2" t="str">
        <f>TEXT(working_data_2[[#This Row],[Date]], "mmm-yy")</f>
        <v>May-24</v>
      </c>
      <c r="N431" s="4">
        <f>IFERROR(working_data_2[[#This Row],[Profit]]/working_data_2[[#This Row],[Sales Amount]], 0)</f>
        <v>0.4</v>
      </c>
    </row>
    <row r="432" spans="1:14" x14ac:dyDescent="0.3">
      <c r="A432" t="s">
        <v>1922</v>
      </c>
      <c r="B432" t="s">
        <v>1924</v>
      </c>
      <c r="C432" t="s">
        <v>1925</v>
      </c>
      <c r="D432" t="s">
        <v>183</v>
      </c>
      <c r="E432" t="s">
        <v>32</v>
      </c>
      <c r="F432" t="s">
        <v>168</v>
      </c>
      <c r="G432">
        <v>90</v>
      </c>
      <c r="H432">
        <v>2</v>
      </c>
      <c r="I432">
        <v>0.1</v>
      </c>
      <c r="J432">
        <v>26</v>
      </c>
      <c r="K432" t="s">
        <v>18</v>
      </c>
      <c r="L432" s="1">
        <v>45443</v>
      </c>
      <c r="M432" s="2" t="str">
        <f>TEXT(working_data_2[[#This Row],[Date]], "mmm-yy")</f>
        <v>May-24</v>
      </c>
      <c r="N432" s="4">
        <f>IFERROR(working_data_2[[#This Row],[Profit]]/working_data_2[[#This Row],[Sales Amount]], 0)</f>
        <v>0.28888888888888886</v>
      </c>
    </row>
    <row r="433" spans="1:14" x14ac:dyDescent="0.3">
      <c r="A433" t="s">
        <v>1926</v>
      </c>
      <c r="B433" t="s">
        <v>1928</v>
      </c>
      <c r="C433" t="s">
        <v>1929</v>
      </c>
      <c r="D433" t="s">
        <v>183</v>
      </c>
      <c r="E433" t="s">
        <v>16</v>
      </c>
      <c r="F433" t="s">
        <v>174</v>
      </c>
      <c r="G433">
        <v>55</v>
      </c>
      <c r="H433">
        <v>3</v>
      </c>
      <c r="I433">
        <v>0</v>
      </c>
      <c r="J433">
        <v>20</v>
      </c>
      <c r="K433" t="s">
        <v>26</v>
      </c>
      <c r="L433" s="1">
        <v>45297</v>
      </c>
      <c r="M433" s="2" t="str">
        <f>TEXT(working_data_2[[#This Row],[Date]], "mmm-yy")</f>
        <v>Jan-24</v>
      </c>
      <c r="N433" s="4">
        <f>IFERROR(working_data_2[[#This Row],[Profit]]/working_data_2[[#This Row],[Sales Amount]], 0)</f>
        <v>0.36363636363636365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283AF-F8F4-4CEF-A425-FF9F0F4E6CB6}">
  <dimension ref="A1:L23"/>
  <sheetViews>
    <sheetView showGridLines="0" workbookViewId="0">
      <selection activeCell="G23" sqref="G23"/>
    </sheetView>
  </sheetViews>
  <sheetFormatPr defaultRowHeight="14.4" x14ac:dyDescent="0.3"/>
  <cols>
    <col min="1" max="1" width="19.6640625" bestFit="1" customWidth="1"/>
    <col min="2" max="2" width="9.5546875" bestFit="1" customWidth="1"/>
    <col min="3" max="3" width="9.109375" bestFit="1" customWidth="1"/>
    <col min="6" max="6" width="20.109375" bestFit="1" customWidth="1"/>
    <col min="7" max="7" width="9.5546875" bestFit="1" customWidth="1"/>
    <col min="8" max="8" width="16.109375" bestFit="1" customWidth="1"/>
    <col min="9" max="9" width="4.44140625" bestFit="1" customWidth="1"/>
    <col min="10" max="10" width="1.44140625" customWidth="1"/>
    <col min="11" max="11" width="17" bestFit="1" customWidth="1"/>
    <col min="12" max="12" width="9.44140625" bestFit="1" customWidth="1"/>
    <col min="13" max="199" width="4.44140625" bestFit="1" customWidth="1"/>
    <col min="200" max="227" width="5" bestFit="1" customWidth="1"/>
    <col min="228" max="228" width="10.77734375" bestFit="1" customWidth="1"/>
  </cols>
  <sheetData>
    <row r="1" spans="1:12" x14ac:dyDescent="0.3">
      <c r="A1" s="15" t="s">
        <v>2018</v>
      </c>
      <c r="B1" s="16"/>
      <c r="C1" s="16"/>
      <c r="F1" s="15" t="s">
        <v>2019</v>
      </c>
      <c r="G1" s="15"/>
      <c r="H1" s="15"/>
      <c r="K1" s="15" t="s">
        <v>2021</v>
      </c>
      <c r="L1" s="15"/>
    </row>
    <row r="2" spans="1:12" x14ac:dyDescent="0.3">
      <c r="A2" s="16"/>
      <c r="B2" s="16"/>
      <c r="C2" s="16"/>
      <c r="F2" s="15"/>
      <c r="G2" s="15"/>
      <c r="H2" s="15"/>
      <c r="K2" s="15"/>
      <c r="L2" s="15"/>
    </row>
    <row r="3" spans="1:12" x14ac:dyDescent="0.3">
      <c r="A3" s="5" t="s">
        <v>2012</v>
      </c>
      <c r="B3" s="6" t="s">
        <v>2013</v>
      </c>
      <c r="C3" s="6" t="s">
        <v>2014</v>
      </c>
      <c r="F3" s="5" t="s">
        <v>2015</v>
      </c>
      <c r="G3" s="6" t="s">
        <v>2013</v>
      </c>
      <c r="H3" s="6" t="s">
        <v>2014</v>
      </c>
      <c r="K3" s="5" t="s">
        <v>10</v>
      </c>
      <c r="L3" s="6" t="s">
        <v>2016</v>
      </c>
    </row>
    <row r="4" spans="1:12" x14ac:dyDescent="0.3">
      <c r="A4" s="7" t="s">
        <v>2010</v>
      </c>
      <c r="B4" s="8">
        <v>2000</v>
      </c>
      <c r="C4" s="8">
        <v>264</v>
      </c>
      <c r="F4" s="10" t="s">
        <v>16</v>
      </c>
      <c r="G4" s="11">
        <v>3202</v>
      </c>
      <c r="H4" s="11">
        <v>415</v>
      </c>
      <c r="K4" s="7" t="s">
        <v>18</v>
      </c>
      <c r="L4" s="23">
        <v>9</v>
      </c>
    </row>
    <row r="5" spans="1:12" x14ac:dyDescent="0.3">
      <c r="A5" s="7" t="s">
        <v>2009</v>
      </c>
      <c r="B5" s="8">
        <v>1150</v>
      </c>
      <c r="C5" s="8">
        <v>140</v>
      </c>
      <c r="F5" s="6" t="s">
        <v>2011</v>
      </c>
      <c r="G5" s="9">
        <v>3202</v>
      </c>
      <c r="H5" s="9">
        <v>415</v>
      </c>
      <c r="K5" s="6" t="s">
        <v>2011</v>
      </c>
      <c r="L5" s="24">
        <v>9</v>
      </c>
    </row>
    <row r="6" spans="1:12" x14ac:dyDescent="0.3">
      <c r="A6" s="7" t="s">
        <v>2008</v>
      </c>
      <c r="B6" s="8">
        <v>52</v>
      </c>
      <c r="C6" s="8">
        <v>11</v>
      </c>
    </row>
    <row r="7" spans="1:12" x14ac:dyDescent="0.3">
      <c r="A7" s="6" t="s">
        <v>2011</v>
      </c>
      <c r="B7" s="9">
        <v>3202</v>
      </c>
      <c r="C7" s="9">
        <v>415</v>
      </c>
    </row>
    <row r="9" spans="1:12" x14ac:dyDescent="0.3">
      <c r="F9" s="15" t="s">
        <v>2020</v>
      </c>
      <c r="G9" s="15"/>
      <c r="H9" s="15"/>
    </row>
    <row r="10" spans="1:12" x14ac:dyDescent="0.3">
      <c r="F10" s="15"/>
      <c r="G10" s="15"/>
      <c r="H10" s="15"/>
    </row>
    <row r="12" spans="1:12" x14ac:dyDescent="0.3">
      <c r="F12" s="5" t="s">
        <v>2015</v>
      </c>
      <c r="G12" s="6" t="s">
        <v>2013</v>
      </c>
      <c r="H12" s="6" t="s">
        <v>2017</v>
      </c>
    </row>
    <row r="13" spans="1:12" x14ac:dyDescent="0.3">
      <c r="F13" s="10" t="s">
        <v>16</v>
      </c>
      <c r="G13" s="11">
        <v>3202</v>
      </c>
      <c r="H13" s="12">
        <v>0.14360304346096928</v>
      </c>
    </row>
    <row r="14" spans="1:12" x14ac:dyDescent="0.3">
      <c r="F14" s="6" t="s">
        <v>2011</v>
      </c>
      <c r="G14" s="9">
        <v>3202</v>
      </c>
      <c r="H14" s="13">
        <v>0.14360304346096928</v>
      </c>
    </row>
    <row r="19" spans="6:8" ht="16.2" x14ac:dyDescent="0.3">
      <c r="F19" s="19" t="s">
        <v>2023</v>
      </c>
      <c r="G19" s="20" t="e">
        <f>TEXT(C29/B29,"0%")</f>
        <v>#DIV/0!</v>
      </c>
      <c r="H19" s="3"/>
    </row>
    <row r="20" spans="6:8" ht="16.8" x14ac:dyDescent="0.35">
      <c r="F20" s="22" t="s">
        <v>2024</v>
      </c>
      <c r="G20" s="21" t="str">
        <f>INDEX(F13:F15, MATCH(MAX(G13:G15), G13:G15, 0))</f>
        <v>Electronics</v>
      </c>
    </row>
    <row r="21" spans="6:8" x14ac:dyDescent="0.3">
      <c r="F21" t="s">
        <v>2025</v>
      </c>
      <c r="G21" s="25">
        <f>IFERROR(GETPIVOTDATA("Sales Amount", A3),0)</f>
        <v>3202</v>
      </c>
    </row>
    <row r="22" spans="6:8" x14ac:dyDescent="0.3">
      <c r="F22" t="s">
        <v>2026</v>
      </c>
      <c r="G22" s="26">
        <f>IFERROR(GETPIVOTDATA("Profit", A3),0)</f>
        <v>415</v>
      </c>
    </row>
    <row r="23" spans="6:8" x14ac:dyDescent="0.3">
      <c r="F23" t="s">
        <v>2027</v>
      </c>
      <c r="G23" s="3">
        <f>IFERROR(GETPIVOTDATA("Profit_Margin", F12),0)</f>
        <v>0.14360304346096928</v>
      </c>
    </row>
  </sheetData>
  <mergeCells count="4">
    <mergeCell ref="A1:C2"/>
    <mergeCell ref="F1:H2"/>
    <mergeCell ref="F9:H10"/>
    <mergeCell ref="K1:L2"/>
  </mergeCells>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9F78-23DC-4E06-9E30-0440BAE1C6D1}">
  <dimension ref="B1:R6"/>
  <sheetViews>
    <sheetView showGridLines="0" tabSelected="1" zoomScaleNormal="100" workbookViewId="0">
      <selection activeCell="S3" sqref="S3"/>
    </sheetView>
  </sheetViews>
  <sheetFormatPr defaultRowHeight="14.4" x14ac:dyDescent="0.3"/>
  <cols>
    <col min="1" max="16384" width="8.88671875" style="17"/>
  </cols>
  <sheetData>
    <row r="1" spans="2:18" x14ac:dyDescent="0.3">
      <c r="F1" s="14" t="s">
        <v>2022</v>
      </c>
      <c r="G1" s="14"/>
      <c r="H1" s="14"/>
      <c r="I1" s="14"/>
      <c r="J1" s="14"/>
      <c r="K1" s="14"/>
      <c r="L1" s="14"/>
      <c r="M1" s="14"/>
      <c r="N1" s="14"/>
      <c r="O1" s="14"/>
      <c r="P1" s="14"/>
      <c r="Q1" s="14"/>
      <c r="R1" s="14"/>
    </row>
    <row r="2" spans="2:18" x14ac:dyDescent="0.3">
      <c r="F2" s="14"/>
      <c r="G2" s="14"/>
      <c r="H2" s="14"/>
      <c r="I2" s="14"/>
      <c r="J2" s="14"/>
      <c r="K2" s="14"/>
      <c r="L2" s="14"/>
      <c r="M2" s="14"/>
      <c r="N2" s="14"/>
      <c r="O2" s="14"/>
      <c r="P2" s="14"/>
      <c r="Q2" s="14"/>
      <c r="R2" s="14"/>
    </row>
    <row r="4" spans="2:18" ht="14.4" customHeight="1" x14ac:dyDescent="0.3">
      <c r="B4" s="18"/>
      <c r="C4" s="18"/>
      <c r="D4" s="18"/>
    </row>
    <row r="5" spans="2:18" ht="14.4" customHeight="1" x14ac:dyDescent="0.3">
      <c r="B5" s="18"/>
      <c r="C5" s="18"/>
      <c r="D5" s="18"/>
    </row>
    <row r="6" spans="2:18" ht="14.4" customHeight="1" x14ac:dyDescent="0.3">
      <c r="B6" s="18"/>
      <c r="C6" s="18"/>
      <c r="D6" s="18"/>
    </row>
  </sheetData>
  <mergeCells count="1">
    <mergeCell ref="F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79426E-E135-4145-BFBE-7193D69D27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working data</vt:lpstr>
      <vt:lpstr>working data (power query)</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Sabarna Jana</dc:creator>
  <cp:lastModifiedBy>Sabarna Jana</cp:lastModifiedBy>
  <dcterms:created xsi:type="dcterms:W3CDTF">2026-03-25T18:32:22Z</dcterms:created>
  <dcterms:modified xsi:type="dcterms:W3CDTF">2026-03-27T18:09:59Z</dcterms:modified>
</cp:coreProperties>
</file>